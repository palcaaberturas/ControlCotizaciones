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worksheets/sheet4.xml" ContentType="application/vnd.openxmlformats-officedocument.spreadsheetml.worksheet+xml"/>
  <Override PartName="/xl/tables/table6.xml" ContentType="application/vnd.openxmlformats-officedocument.spreadsheetml.table+xml"/>
  <Override PartName="/xl/tables/table7.xml" ContentType="application/vnd.openxmlformats-officedocument.spreadsheetml.table+xml"/>
  <Override PartName="/xl/worksheets/sheet5.xml" ContentType="application/vnd.openxmlformats-officedocument.spreadsheetml.worksheet+xml"/>
  <Override PartName="/xl/tables/table8.xml" ContentType="application/vnd.openxmlformats-officedocument.spreadsheetml.table+xml"/>
  <Override PartName="/xl/tables/table9.xml" ContentType="application/vnd.openxmlformats-officedocument.spreadsheetml.table+xml"/>
  <Override PartName="/xl/worksheets/sheet6.xml" ContentType="application/vnd.openxmlformats-officedocument.spreadsheetml.worksheet+xml"/>
  <Override PartName="/xl/tables/table10.xml" ContentType="application/vnd.openxmlformats-officedocument.spreadsheetml.table+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name="Plantilla Principal" sheetId="1" state="visible" r:id="rId1"/>
    <sheet name="Base perfiles" sheetId="2" state="visible" r:id="rId2"/>
    <sheet name="Base vidrios" sheetId="3" state="visible" r:id="rId3"/>
    <sheet name="Plantilla Retazo" sheetId="4" state="hidden" r:id="rId4"/>
    <sheet name="Plantilla Pedido" sheetId="5" state="hidden" r:id="rId5"/>
    <sheet name="Plantilla DVH" sheetId="6" state="hidden" r:id="rId6"/>
    <sheet name="Plantilla Templados" sheetId="7" state="visible" r:id="rId7"/>
  </sheets>
  <definedNames/>
  <calcPr calcId="191029" fullCalcOnLoad="1"/>
</workbook>
</file>

<file path=xl/styles.xml><?xml version="1.0" encoding="utf-8"?>
<styleSheet xmlns="http://schemas.openxmlformats.org/spreadsheetml/2006/main">
  <numFmts count="3">
    <numFmt numFmtId="164" formatCode="&quot;$&quot;#,##0.00"/>
    <numFmt numFmtId="165" formatCode="0.0%"/>
    <numFmt numFmtId="166" formatCode="d/m/yyyy"/>
  </numFmts>
  <fonts count="7">
    <font>
      <name val="Arial"/>
      <color rgb="FF000000"/>
      <sz val="10"/>
      <scheme val="minor"/>
    </font>
    <font>
      <name val="Arial"/>
      <color theme="1"/>
      <sz val="10"/>
      <scheme val="minor"/>
    </font>
    <font>
      <name val="Arial"/>
      <b val="1"/>
      <color theme="1"/>
      <sz val="10"/>
      <scheme val="minor"/>
    </font>
    <font>
      <name val="Arial"/>
      <color rgb="FFFFFFFF"/>
      <sz val="10"/>
      <scheme val="minor"/>
    </font>
    <font>
      <name val="Roboto"/>
      <color rgb="FF434343"/>
      <sz val="10"/>
    </font>
    <font>
      <name val="Roboto"/>
      <color theme="1"/>
      <sz val="10"/>
    </font>
    <font>
      <name val="Arial"/>
      <color theme="1"/>
      <sz val="10"/>
    </font>
  </fonts>
  <fills count="5">
    <fill>
      <patternFill/>
    </fill>
    <fill>
      <patternFill patternType="gray125"/>
    </fill>
    <fill>
      <patternFill patternType="solid">
        <fgColor rgb="FFFFFF00"/>
        <bgColor rgb="FFFFFF00"/>
      </patternFill>
    </fill>
    <fill>
      <patternFill patternType="solid">
        <fgColor rgb="FF356854"/>
        <bgColor rgb="FF356854"/>
      </patternFill>
    </fill>
    <fill>
      <patternFill patternType="solid">
        <fgColor rgb="FFFFFFFF"/>
        <bgColor rgb="FFFFFFFF"/>
      </patternFill>
    </fill>
  </fills>
  <borders count="8">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FFFFFF"/>
      </left>
      <right style="thin">
        <color rgb="FFFFFFFF"/>
      </right>
      <top style="thin">
        <color rgb="FFFFFFFF"/>
      </top>
      <bottom style="thin">
        <color rgb="FFFFFFFF"/>
      </bottom>
      <diagonal/>
    </border>
  </borders>
  <cellStyleXfs count="1">
    <xf numFmtId="0" fontId="0" fillId="0" borderId="0"/>
  </cellStyleXfs>
  <cellXfs count="54">
    <xf numFmtId="0" fontId="0" fillId="0" borderId="0" pivotButton="0" quotePrefix="0" xfId="0"/>
    <xf numFmtId="0" fontId="1" fillId="0" borderId="0" applyAlignment="1" pivotButton="0" quotePrefix="0" xfId="0">
      <alignment horizontal="left" vertical="center"/>
    </xf>
    <xf numFmtId="49" fontId="1" fillId="0" borderId="0" applyAlignment="1" pivotButton="0" quotePrefix="0" xfId="0">
      <alignment horizontal="left" vertical="center"/>
    </xf>
    <xf numFmtId="0" fontId="1" fillId="0" borderId="0" pivotButton="0" quotePrefix="0" xfId="0"/>
    <xf numFmtId="0" fontId="1" fillId="0" borderId="1" applyAlignment="1" pivotButton="0" quotePrefix="0" xfId="0">
      <alignment vertical="center"/>
    </xf>
    <xf numFmtId="164" fontId="1" fillId="0" borderId="1" applyAlignment="1" pivotButton="0" quotePrefix="0" xfId="0">
      <alignment vertical="center"/>
    </xf>
    <xf numFmtId="165" fontId="1" fillId="2" borderId="1" applyAlignment="1" pivotButton="0" quotePrefix="0" xfId="0">
      <alignment vertical="center"/>
    </xf>
    <xf numFmtId="10" fontId="1" fillId="0" borderId="1" applyAlignment="1" pivotButton="0" quotePrefix="0" xfId="0">
      <alignment vertical="center"/>
    </xf>
    <xf numFmtId="165" fontId="1" fillId="0" borderId="1" applyAlignment="1" pivotButton="0" quotePrefix="0" xfId="0">
      <alignment vertical="center"/>
    </xf>
    <xf numFmtId="0" fontId="1" fillId="0" borderId="1" pivotButton="0" quotePrefix="0" xfId="0"/>
    <xf numFmtId="164" fontId="1" fillId="0" borderId="1" pivotButton="0" quotePrefix="0" xfId="0"/>
    <xf numFmtId="10" fontId="1" fillId="0" borderId="1" pivotButton="0" quotePrefix="0" xfId="0"/>
    <xf numFmtId="0" fontId="2" fillId="0" borderId="0" pivotButton="0" quotePrefix="0" xfId="0"/>
    <xf numFmtId="164" fontId="2" fillId="0" borderId="0" pivotButton="0" quotePrefix="0" xfId="0"/>
    <xf numFmtId="0" fontId="2" fillId="0" borderId="1" pivotButton="0" quotePrefix="0" xfId="0"/>
    <xf numFmtId="10" fontId="2" fillId="0" borderId="0" pivotButton="0" quotePrefix="0" xfId="0"/>
    <xf numFmtId="164" fontId="1" fillId="0" borderId="0" pivotButton="0" quotePrefix="0" xfId="0"/>
    <xf numFmtId="164" fontId="2" fillId="0" borderId="1" pivotButton="0" quotePrefix="0" xfId="0"/>
    <xf numFmtId="10" fontId="1" fillId="0" borderId="0" pivotButton="0" quotePrefix="0" xfId="0"/>
    <xf numFmtId="166" fontId="1" fillId="0" borderId="1" pivotButton="0" quotePrefix="0" xfId="0"/>
    <xf numFmtId="165" fontId="1" fillId="0" borderId="1" pivotButton="0" quotePrefix="0" xfId="0"/>
    <xf numFmtId="49" fontId="1" fillId="0" borderId="0" pivotButton="0" quotePrefix="0" xfId="0"/>
    <xf numFmtId="4" fontId="1" fillId="0" borderId="0" pivotButton="0" quotePrefix="0" xfId="0"/>
    <xf numFmtId="0" fontId="1" fillId="0" borderId="4" applyAlignment="1" pivotButton="0" quotePrefix="0" xfId="0">
      <alignment horizontal="left" vertical="center"/>
    </xf>
    <xf numFmtId="0" fontId="1" fillId="0" borderId="5" applyAlignment="1" pivotButton="0" quotePrefix="0" xfId="0">
      <alignment horizontal="left" vertical="center"/>
    </xf>
    <xf numFmtId="49" fontId="1" fillId="0" borderId="5" applyAlignment="1" pivotButton="0" quotePrefix="0" xfId="0">
      <alignment horizontal="left" vertical="center"/>
    </xf>
    <xf numFmtId="0" fontId="1" fillId="0" borderId="6" applyAlignment="1" pivotButton="0" quotePrefix="0" xfId="0">
      <alignment horizontal="left" vertical="center"/>
    </xf>
    <xf numFmtId="0" fontId="3" fillId="3" borderId="1" pivotButton="0" quotePrefix="0" xfId="0"/>
    <xf numFmtId="0" fontId="4" fillId="0" borderId="0" applyAlignment="1" pivotButton="0" quotePrefix="0" xfId="0">
      <alignment horizontal="right" vertical="center"/>
    </xf>
    <xf numFmtId="0" fontId="5" fillId="0" borderId="0" applyAlignment="1" pivotButton="0" quotePrefix="0" xfId="0">
      <alignment vertical="center"/>
    </xf>
    <xf numFmtId="3" fontId="4" fillId="0" borderId="0" applyAlignment="1" pivotButton="0" quotePrefix="0" xfId="0">
      <alignment horizontal="right" vertical="center"/>
    </xf>
    <xf numFmtId="10" fontId="4" fillId="0" borderId="0" applyAlignment="1" pivotButton="0" quotePrefix="0" xfId="0">
      <alignment vertical="center"/>
    </xf>
    <xf numFmtId="164" fontId="4" fillId="0" borderId="0" applyAlignment="1" pivotButton="0" quotePrefix="0" xfId="0">
      <alignment vertical="center"/>
    </xf>
    <xf numFmtId="164" fontId="4" fillId="0" borderId="0" applyAlignment="1" pivotButton="0" quotePrefix="0" xfId="0">
      <alignment horizontal="right" vertical="center"/>
    </xf>
    <xf numFmtId="164" fontId="4" fillId="4" borderId="7" pivotButton="0" quotePrefix="0" xfId="0"/>
    <xf numFmtId="0" fontId="4" fillId="0" borderId="0" applyAlignment="1" pivotButton="0" quotePrefix="0" xfId="0">
      <alignment vertical="center"/>
    </xf>
    <xf numFmtId="0" fontId="6" fillId="0" borderId="0" applyAlignment="1" pivotButton="0" quotePrefix="0" xfId="0">
      <alignment vertical="center"/>
    </xf>
    <xf numFmtId="3" fontId="6" fillId="0" borderId="0" applyAlignment="1" pivotButton="0" quotePrefix="0" xfId="0">
      <alignment vertical="center"/>
    </xf>
    <xf numFmtId="10" fontId="6" fillId="0" borderId="0" applyAlignment="1" pivotButton="0" quotePrefix="0" xfId="0">
      <alignment vertical="center"/>
    </xf>
    <xf numFmtId="0" fontId="3" fillId="0" borderId="1" pivotButton="0" quotePrefix="0" xfId="0"/>
    <xf numFmtId="0" fontId="1" fillId="0" borderId="0" applyAlignment="1" pivotButton="0" quotePrefix="0" xfId="0">
      <alignment vertical="center"/>
    </xf>
    <xf numFmtId="10" fontId="1" fillId="0" borderId="0" applyAlignment="1" pivotButton="0" quotePrefix="0" xfId="0">
      <alignment vertical="center"/>
    </xf>
    <xf numFmtId="164" fontId="1" fillId="0" borderId="0" applyAlignment="1" pivotButton="0" quotePrefix="0" xfId="0">
      <alignment vertical="center"/>
    </xf>
    <xf numFmtId="0" fontId="2" fillId="0" borderId="0" applyAlignment="1" pivotButton="0" quotePrefix="0" xfId="0">
      <alignment horizontal="left" vertical="center"/>
    </xf>
    <xf numFmtId="0" fontId="1" fillId="2" borderId="1" applyAlignment="1" pivotButton="0" quotePrefix="0" xfId="0">
      <alignment vertical="center"/>
    </xf>
    <xf numFmtId="164" fontId="1" fillId="2" borderId="1" applyAlignment="1" pivotButton="0" quotePrefix="0" xfId="0">
      <alignment vertical="center"/>
    </xf>
    <xf numFmtId="164" fontId="2" fillId="2" borderId="1" applyAlignment="1" pivotButton="0" quotePrefix="0" xfId="0">
      <alignment vertical="center"/>
    </xf>
    <xf numFmtId="0" fontId="2" fillId="2" borderId="1" applyAlignment="1" pivotButton="0" quotePrefix="0" xfId="0">
      <alignment vertical="center"/>
    </xf>
    <xf numFmtId="0" fontId="1" fillId="0" borderId="0" applyAlignment="1" pivotButton="0" quotePrefix="0" xfId="0">
      <alignment horizontal="center"/>
    </xf>
    <xf numFmtId="0" fontId="0" fillId="0" borderId="0" pivotButton="0" quotePrefix="0" xfId="0"/>
    <xf numFmtId="0" fontId="1" fillId="0" borderId="1" applyAlignment="1" pivotButton="0" quotePrefix="0" xfId="0">
      <alignment horizontal="center"/>
    </xf>
    <xf numFmtId="0" fontId="0" fillId="0" borderId="2" pivotButton="0" quotePrefix="0" xfId="0"/>
    <xf numFmtId="0" fontId="1" fillId="0" borderId="1" pivotButton="0" quotePrefix="0" xfId="0"/>
    <xf numFmtId="0" fontId="0" fillId="0" borderId="3" pivotButton="0" quotePrefix="0" xfId="0"/>
  </cellXfs>
  <cellStyles count="1">
    <cellStyle name="Normal" xfId="0" builtinId="0"/>
  </cellStyles>
  <dxfs count="48">
    <dxf>
      <font>
        <name val="Arial"/>
        <strike val="0"/>
        <outline val="0"/>
        <shadow val="0"/>
        <condense val="0"/>
        <color theme="1"/>
        <extend val="0"/>
        <sz val="10"/>
        <vertAlign val="baseline"/>
        <scheme val="minor"/>
      </font>
    </dxf>
    <dxf>
      <font>
        <name val="Arial"/>
        <strike val="0"/>
        <outline val="0"/>
        <shadow val="0"/>
        <condense val="0"/>
        <color theme="1"/>
        <extend val="0"/>
        <sz val="10"/>
        <vertAlign val="baseline"/>
        <scheme val="minor"/>
      </font>
      <numFmt numFmtId="164" formatCode="&quot;$&quot;#,##0.00"/>
    </dxf>
    <dxf>
      <font>
        <name val="Arial"/>
        <strike val="0"/>
        <outline val="0"/>
        <shadow val="0"/>
        <condense val="0"/>
        <color theme="1"/>
        <extend val="0"/>
        <sz val="10"/>
        <vertAlign val="baseline"/>
        <scheme val="minor"/>
      </font>
    </dxf>
    <dxf>
      <font>
        <name val="Arial"/>
        <strike val="0"/>
        <outline val="0"/>
        <shadow val="0"/>
        <condense val="0"/>
        <color theme="1"/>
        <extend val="0"/>
        <sz val="10"/>
        <vertAlign val="baseline"/>
        <scheme val="minor"/>
      </font>
    </dxf>
    <dxf>
      <font>
        <name val="Arial"/>
        <strike val="0"/>
        <outline val="0"/>
        <shadow val="0"/>
        <condense val="0"/>
        <color theme="1"/>
        <extend val="0"/>
        <sz val="10"/>
        <vertAlign val="baseline"/>
        <scheme val="minor"/>
      </font>
      <numFmt numFmtId="164" formatCode="&quot;$&quot;#,##0.00"/>
    </dxf>
    <dxf>
      <font>
        <name val="Arial"/>
        <strike val="0"/>
        <outline val="0"/>
        <shadow val="0"/>
        <condense val="0"/>
        <color theme="1"/>
        <extend val="0"/>
        <sz val="10"/>
        <vertAlign val="baseline"/>
        <scheme val="minor"/>
      </font>
    </dxf>
    <dxf>
      <font>
        <name val="Arial"/>
        <strike val="0"/>
        <outline val="0"/>
        <shadow val="0"/>
        <condense val="0"/>
        <color theme="1"/>
        <extend val="0"/>
        <sz val="10"/>
        <vertAlign val="baseline"/>
        <scheme val="minor"/>
      </font>
    </dxf>
    <dxf>
      <font>
        <name val="Arial"/>
        <strike val="0"/>
        <outline val="0"/>
        <shadow val="0"/>
        <condense val="0"/>
        <color theme="1"/>
        <extend val="0"/>
        <sz val="10"/>
        <vertAlign val="baseline"/>
        <scheme val="minor"/>
      </font>
      <numFmt numFmtId="164" formatCode="&quot;$&quot;#,##0.00"/>
    </dxf>
    <dxf>
      <font>
        <name val="Arial"/>
        <strike val="0"/>
        <outline val="0"/>
        <shadow val="0"/>
        <condense val="0"/>
        <color theme="1"/>
        <extend val="0"/>
        <sz val="10"/>
        <vertAlign val="baseline"/>
        <scheme val="minor"/>
      </font>
    </dxf>
    <dxf>
      <font>
        <name val="Arial"/>
        <strike val="0"/>
        <outline val="0"/>
        <shadow val="0"/>
        <condense val="0"/>
        <color theme="1"/>
        <extend val="0"/>
        <sz val="10"/>
        <vertAlign val="baseline"/>
        <scheme val="minor"/>
      </font>
    </dxf>
    <dxf>
      <font>
        <name val="Arial"/>
        <strike val="0"/>
        <outline val="0"/>
        <shadow val="0"/>
        <condense val="0"/>
        <color theme="1"/>
        <extend val="0"/>
        <sz val="10"/>
        <vertAlign val="baseline"/>
        <scheme val="minor"/>
      </font>
    </dxf>
    <dxf>
      <font>
        <name val="Arial"/>
        <strike val="0"/>
        <outline val="0"/>
        <shadow val="0"/>
        <condense val="0"/>
        <color theme="1"/>
        <extend val="0"/>
        <sz val="10"/>
        <vertAlign val="baseline"/>
        <scheme val="minor"/>
      </font>
      <numFmt numFmtId="164" formatCode="&quot;$&quot;#,##0.00"/>
    </dxf>
    <dxf>
      <font>
        <name val="Arial"/>
        <strike val="0"/>
        <outline val="0"/>
        <shadow val="0"/>
        <condense val="0"/>
        <color theme="1"/>
        <extend val="0"/>
        <sz val="10"/>
        <vertAlign val="baseline"/>
        <scheme val="minor"/>
      </font>
      <numFmt numFmtId="164" formatCode="&quot;$&quot;#,##0.00"/>
    </dxf>
    <dxf>
      <font>
        <name val="Arial"/>
        <strike val="0"/>
        <outline val="0"/>
        <shadow val="0"/>
        <condense val="0"/>
        <color theme="1"/>
        <extend val="0"/>
        <sz val="10"/>
        <vertAlign val="baseline"/>
        <scheme val="minor"/>
      </font>
      <numFmt numFmtId="164" formatCode="&quot;$&quot;#,##0.00"/>
    </dxf>
    <dxf>
      <font>
        <name val="Arial"/>
        <strike val="0"/>
        <outline val="0"/>
        <shadow val="0"/>
        <condense val="0"/>
        <color theme="1"/>
        <extend val="0"/>
        <sz val="10"/>
        <vertAlign val="baseline"/>
        <scheme val="minor"/>
      </font>
    </dxf>
    <dxf>
      <font>
        <name val="Arial"/>
        <strike val="0"/>
        <outline val="0"/>
        <shadow val="0"/>
        <condense val="0"/>
        <color theme="1"/>
        <extend val="0"/>
        <sz val="10"/>
        <vertAlign val="baseline"/>
        <scheme val="minor"/>
      </font>
      <numFmt numFmtId="164" formatCode="&quot;$&quot;#,##0.00"/>
    </dxf>
    <dxf>
      <font>
        <name val="Arial"/>
        <strike val="0"/>
        <outline val="0"/>
        <shadow val="0"/>
        <condense val="0"/>
        <color theme="1"/>
        <extend val="0"/>
        <sz val="10"/>
        <vertAlign val="baseline"/>
        <scheme val="minor"/>
      </font>
      <numFmt numFmtId="164" formatCode="&quot;$&quot;#,##0.00"/>
    </dxf>
    <dxf>
      <font>
        <name val="Arial"/>
        <strike val="0"/>
        <outline val="0"/>
        <shadow val="0"/>
        <condense val="0"/>
        <color theme="1"/>
        <extend val="0"/>
        <sz val="10"/>
        <vertAlign val="baseline"/>
        <scheme val="minor"/>
      </font>
      <numFmt numFmtId="164" formatCode="&quot;$&quot;#,##0.00"/>
    </dxf>
    <dxf>
      <font>
        <name val="Arial"/>
        <strike val="0"/>
        <outline val="0"/>
        <shadow val="0"/>
        <condense val="0"/>
        <color theme="1"/>
        <extend val="0"/>
        <sz val="10"/>
        <vertAlign val="baseline"/>
        <scheme val="minor"/>
      </font>
      <numFmt numFmtId="164" formatCode="&quot;$&quot;#,##0.00"/>
    </dxf>
    <dxf>
      <font>
        <name val="Arial"/>
        <strike val="0"/>
        <outline val="0"/>
        <shadow val="0"/>
        <condense val="0"/>
        <color theme="1"/>
        <extend val="0"/>
        <sz val="10"/>
        <vertAlign val="baseline"/>
        <scheme val="minor"/>
      </font>
      <numFmt numFmtId="164" formatCode="&quot;$&quot;#,##0.00"/>
    </dxf>
    <dxf>
      <font>
        <name val="Arial"/>
        <strike val="0"/>
        <outline val="0"/>
        <shadow val="0"/>
        <condense val="0"/>
        <color theme="1"/>
        <extend val="0"/>
        <sz val="10"/>
        <vertAlign val="baseline"/>
        <scheme val="minor"/>
      </font>
      <numFmt numFmtId="4" formatCode="#,##0.00"/>
    </dxf>
    <dxf>
      <font>
        <name val="Arial"/>
        <strike val="0"/>
        <outline val="0"/>
        <shadow val="0"/>
        <condense val="0"/>
        <color theme="1"/>
        <extend val="0"/>
        <sz val="10"/>
        <vertAlign val="baseline"/>
        <scheme val="minor"/>
      </font>
    </dxf>
    <dxf>
      <font>
        <name val="Arial"/>
        <strike val="0"/>
        <outline val="0"/>
        <shadow val="0"/>
        <condense val="0"/>
        <color theme="1"/>
        <extend val="0"/>
        <sz val="10"/>
        <vertAlign val="baseline"/>
        <scheme val="minor"/>
      </font>
    </dxf>
    <dxf>
      <font>
        <name val="Arial"/>
        <strike val="0"/>
        <outline val="0"/>
        <shadow val="0"/>
        <condense val="0"/>
        <color theme="1"/>
        <extend val="0"/>
        <sz val="10"/>
        <vertAlign val="baseline"/>
        <scheme val="minor"/>
      </font>
    </dxf>
    <dxf>
      <font>
        <name val="Arial"/>
        <strike val="0"/>
        <outline val="0"/>
        <shadow val="0"/>
        <condense val="0"/>
        <color theme="1"/>
        <extend val="0"/>
        <sz val="10"/>
        <vertAlign val="baseline"/>
        <scheme val="minor"/>
      </font>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8F9FA"/>
          <bgColor rgb="FFF8F9FA"/>
        </patternFill>
      </fill>
    </dxf>
    <dxf>
      <fill>
        <patternFill patternType="solid">
          <fgColor rgb="FFFFFFFF"/>
          <bgColor rgb="FFFFFFFF"/>
        </patternFill>
      </fill>
    </dxf>
    <dxf>
      <fill>
        <patternFill patternType="solid">
          <fgColor rgb="FF356854"/>
          <bgColor rgb="FF356854"/>
        </patternFill>
      </fill>
    </dxf>
  </dxfs>
  <tableStyles count="6" defaultTableStyle="TableStyleMedium9" defaultPivotStyle="PivotStyleLight16">
    <tableStyle name="Plantilla Principal-style" pivot="0" count="4">
      <tableStyleElement type="wholeTable" size="0" dxfId="44"/>
      <tableStyleElement type="headerRow" dxfId="47"/>
      <tableStyleElement type="firstRowStripe" dxfId="46"/>
      <tableStyleElement type="secondRowStripe" dxfId="45"/>
    </tableStyle>
    <tableStyle name="Plantilla Retazo-style" pivot="0" count="4">
      <tableStyleElement type="wholeTable" size="0" dxfId="40"/>
      <tableStyleElement type="headerRow" dxfId="43"/>
      <tableStyleElement type="firstRowStripe" dxfId="42"/>
      <tableStyleElement type="secondRowStripe" dxfId="41"/>
    </tableStyle>
    <tableStyle name="Plantilla Retazo-style 2" pivot="0" count="4">
      <tableStyleElement type="wholeTable" size="0" dxfId="36"/>
      <tableStyleElement type="headerRow" dxfId="39"/>
      <tableStyleElement type="firstRowStripe" dxfId="38"/>
      <tableStyleElement type="secondRowStripe" dxfId="37"/>
    </tableStyle>
    <tableStyle name="Plantilla Pedido-style" pivot="0" count="4">
      <tableStyleElement type="wholeTable" size="0" dxfId="32"/>
      <tableStyleElement type="headerRow" dxfId="35"/>
      <tableStyleElement type="firstRowStripe" dxfId="34"/>
      <tableStyleElement type="secondRowStripe" dxfId="33"/>
    </tableStyle>
    <tableStyle name="Plantilla Pedido-style 2" pivot="0" count="3">
      <tableStyleElement type="headerRow" dxfId="31"/>
      <tableStyleElement type="firstRowStripe" dxfId="30"/>
      <tableStyleElement type="secondRowStripe" dxfId="29"/>
    </tableStyle>
    <tableStyle name="Plantilla DVH-style" pivot="0" count="4">
      <tableStyleElement type="wholeTable" size="0" dxfId="25"/>
      <tableStyleElement type="headerRow" dxfId="28"/>
      <tableStyleElement type="firstRowStripe" dxfId="27"/>
      <tableStyleElement type="secondRowStripe" dxfId="26"/>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ables/table1.xml><?xml version="1.0" encoding="utf-8"?>
<table xmlns="http://schemas.openxmlformats.org/spreadsheetml/2006/main" id="1" name="Presupuesto_Inicial" displayName="Presupuesto_Inicial" ref="A1:F10" headerRowCount="1">
  <tableColumns count="6">
    <tableColumn id="1" name="Columna 1"/>
    <tableColumn id="2" name="Total pedido S/iva"/>
    <tableColumn id="3" name=" Uso"/>
    <tableColumn id="4" name="C/IVA"/>
    <tableColumn id="5" name="Desc"/>
    <tableColumn id="6" name="Incidencia"/>
  </tableColumns>
  <tableStyleInfo name="Plantilla Principal-style" showFirstColumn="1" showLastColumn="1" showRowStripes="1" showColumnStripes="0"/>
</table>
</file>

<file path=xl/tables/table2.xml><?xml version="1.0" encoding="utf-8"?>
<table xmlns="http://schemas.openxmlformats.org/spreadsheetml/2006/main" id="2" name="Tabla7" displayName="Tabla7" ref="A2:N119" headerRowCount="1" totalsRowShown="0" headerRowDxfId="9" dataDxfId="10">
  <autoFilter ref="A2:N119"/>
  <tableColumns count="14">
    <tableColumn id="1" name="Código" dataDxfId="24"/>
    <tableColumn id="2" name="Descripción" dataDxfId="23"/>
    <tableColumn id="3" name="Largo STD" dataDxfId="22"/>
    <tableColumn id="4" name="Kg/m" dataDxfId="21"/>
    <tableColumn id="5" name="Kg/barra" dataDxfId="20">
      <calculatedColumnFormula>D3*C3/1000</calculatedColumnFormula>
    </tableColumn>
    <tableColumn id="6" name="A s/IVA" dataDxfId="19">
      <calculatedColumnFormula>L3/1.21</calculatedColumnFormula>
    </tableColumn>
    <tableColumn id="7" name="B s/IVA" dataDxfId="18">
      <calculatedColumnFormula>M3/1.21</calculatedColumnFormula>
    </tableColumn>
    <tableColumn id="8" name="N s/IVA" dataDxfId="17">
      <calculatedColumnFormula>N3/1.21</calculatedColumnFormula>
    </tableColumn>
    <tableColumn id="9" name="A c 10,5" dataDxfId="16">
      <calculatedColumnFormula>F3*1.105</calculatedColumnFormula>
    </tableColumn>
    <tableColumn id="10" name="B c 10,5" dataDxfId="15">
      <calculatedColumnFormula>G3*1.105</calculatedColumnFormula>
    </tableColumn>
    <tableColumn id="11" name="N c 10,5" dataDxfId="14">
      <calculatedColumnFormula>H3*1.105</calculatedColumnFormula>
    </tableColumn>
    <tableColumn id="12" name="A c/IVA" dataDxfId="13"/>
    <tableColumn id="13" name="B c/IVA" dataDxfId="12"/>
    <tableColumn id="14" name="N c/IVA" dataDxfId="11"/>
  </tableColumns>
  <tableStyleInfo name="TableStyleMedium9" showFirstColumn="0" showLastColumn="0" showRowStripes="1" showColumnStripes="0"/>
</table>
</file>

<file path=xl/tables/table3.xml><?xml version="1.0" encoding="utf-8"?>
<table xmlns="http://schemas.openxmlformats.org/spreadsheetml/2006/main" id="3" name="Tabla8" displayName="Tabla8" ref="B3:C17" headerRowCount="1" totalsRowShown="0" headerRowDxfId="6">
  <autoFilter ref="B3:C17"/>
  <tableColumns count="2">
    <tableColumn id="1" name="VIDRIO" dataDxfId="8"/>
    <tableColumn id="2" name="PRECIO (M2)" dataDxfId="7"/>
  </tableColumns>
  <tableStyleInfo name="TableStyleMedium9" showFirstColumn="0" showLastColumn="0" showRowStripes="1" showColumnStripes="0"/>
</table>
</file>

<file path=xl/tables/table4.xml><?xml version="1.0" encoding="utf-8"?>
<table xmlns="http://schemas.openxmlformats.org/spreadsheetml/2006/main" id="4" name="Tabla9" displayName="Tabla9" ref="E3:F9" headerRowCount="1" totalsRowShown="0" headerRowDxfId="3">
  <autoFilter ref="E3:F9"/>
  <tableColumns count="2">
    <tableColumn id="1" name="CAMARA" dataDxfId="5"/>
    <tableColumn id="2" name="PRECIO (ML)" dataDxfId="4"/>
  </tableColumns>
  <tableStyleInfo name="TableStyleMedium9" showFirstColumn="0" showLastColumn="0" showRowStripes="1" showColumnStripes="0"/>
</table>
</file>

<file path=xl/tables/table5.xml><?xml version="1.0" encoding="utf-8"?>
<table xmlns="http://schemas.openxmlformats.org/spreadsheetml/2006/main" id="5" name="Tabla10" displayName="Tabla10" ref="H3:I5" headerRowCount="1" totalsRowShown="0" headerRowDxfId="0">
  <autoFilter ref="H3:I5"/>
  <tableColumns count="2">
    <tableColumn id="1" name="Valvula" dataDxfId="2">
      <calculatedColumnFormula>IFERROR(__xludf.DUMMYFUNCTION("""COMPUTED_VALUE"""),"NO")</calculatedColumnFormula>
    </tableColumn>
    <tableColumn id="2" name="Precio" dataDxfId="1">
      <calculatedColumnFormula>IFERROR(__xludf.DUMMYFUNCTION("""COMPUTED_VALUE"""),0)</calculatedColumnFormula>
    </tableColumn>
  </tableColumns>
  <tableStyleInfo name="TableStyleMedium9" showFirstColumn="0" showLastColumn="0" showRowStripes="1" showColumnStripes="0"/>
</table>
</file>

<file path=xl/tables/table6.xml><?xml version="1.0" encoding="utf-8"?>
<table xmlns="http://schemas.openxmlformats.org/spreadsheetml/2006/main" id="6" name="Tabla_1" displayName="Tabla_1" ref="B3:H149" headerRowCount="1">
  <tableColumns count="7">
    <tableColumn id="1" name="Codigo"/>
    <tableColumn id="2" name="Color"/>
    <tableColumn id="3" name="Largo retazo"/>
    <tableColumn id="4" name="Cantidad"/>
    <tableColumn id="5" name="Bonificacion"/>
    <tableColumn id="6" name="Precio barra"/>
    <tableColumn id="7" name="Precio retazo"/>
  </tableColumns>
  <tableStyleInfo name="Plantilla Retazo-style" showFirstColumn="1" showLastColumn="1" showRowStripes="1" showColumnStripes="0"/>
</table>
</file>

<file path=xl/tables/table7.xml><?xml version="1.0" encoding="utf-8"?>
<table xmlns="http://schemas.openxmlformats.org/spreadsheetml/2006/main" id="7" name="Tabla_7" displayName="Tabla_7" ref="N3:T179" headerRowCount="1">
  <tableColumns count="7">
    <tableColumn id="1" name="Codigo"/>
    <tableColumn id="2" name="Color"/>
    <tableColumn id="3" name="Largo retazo"/>
    <tableColumn id="4" name="Cantidad"/>
    <tableColumn id="5" name="Bonificacion"/>
    <tableColumn id="6" name="Precio barra"/>
    <tableColumn id="7" name="Precio retazo"/>
  </tableColumns>
  <tableStyleInfo name="Plantilla Retazo-style 2" showFirstColumn="1" showLastColumn="1" showRowStripes="1" showColumnStripes="0"/>
</table>
</file>

<file path=xl/tables/table8.xml><?xml version="1.0" encoding="utf-8"?>
<table xmlns="http://schemas.openxmlformats.org/spreadsheetml/2006/main" id="8" name="Tabla_2" displayName="Tabla_2" ref="A1:H46" headerRowCount="1">
  <tableColumns count="8">
    <tableColumn id="1" name="CODIGO"/>
    <tableColumn id="2" name="COLOR"/>
    <tableColumn id="3" name="CANTIDAD"/>
    <tableColumn id="4" name="BONIF."/>
    <tableColumn id="5" name="$/barra S/B"/>
    <tableColumn id="6" name="TOTAL C 10,5 BONIF"/>
    <tableColumn id="7" name="TOTAL S/IVA BONIF"/>
    <tableColumn id="8" name="TOTAL C /IVA"/>
  </tableColumns>
  <tableStyleInfo name="Plantilla Pedido-style" showFirstColumn="1" showLastColumn="1" showRowStripes="1" showColumnStripes="0"/>
</table>
</file>

<file path=xl/tables/table9.xml><?xml version="1.0" encoding="utf-8"?>
<table xmlns="http://schemas.openxmlformats.org/spreadsheetml/2006/main" id="9" name="Table_1" displayName="Table_1" ref="K1:M1" headerRowCount="0">
  <tableColumns count="3">
    <tableColumn id="1" name="Column1"/>
    <tableColumn id="2" name="Column2"/>
    <tableColumn id="3" name="Column3"/>
  </tableColumns>
  <tableStyleInfo name="Plantilla Pedido-style 2" showFirstColumn="1" showLastColumn="1" showRowStripes="1" showColumnStripes="0"/>
</table>
</file>

<file path=xl/tables/table10.xml><?xml version="1.0" encoding="utf-8"?>
<table xmlns="http://schemas.openxmlformats.org/spreadsheetml/2006/main" id="10" name="Calculadora_DVH" displayName="Calculadora_DVH" ref="A2:T30" headerRowCount="1">
  <tableColumns count="20">
    <tableColumn id="1" name="TIP."/>
    <tableColumn id="2" name="LADO1 VIDRIO"/>
    <tableColumn id="3" name="LADO2 VIDRIO"/>
    <tableColumn id="4" name="CANT."/>
    <tableColumn id="5" name="VIDRIO1"/>
    <tableColumn id="6" name="VIDRIO2"/>
    <tableColumn id="7" name="CAMARA"/>
    <tableColumn id="8" name="VALVULA"/>
    <tableColumn id="9" name="PER. (ML)"/>
    <tableColumn id="10" name="SUP. (M2)"/>
    <tableColumn id="11" name="$ VIDRIO1"/>
    <tableColumn id="12" name="$ VIDRIO2"/>
    <tableColumn id="13" name="$TOTAL CAMARA"/>
    <tableColumn id="14" name="$TOTAL VA"/>
    <tableColumn id="15" name="$TOTAL U"/>
    <tableColumn id="16" name="$TOTAL"/>
    <tableColumn id="17" name="$V1SR"/>
    <tableColumn id="18" name="$V2SR"/>
    <tableColumn id="19" name="$TOTALSR"/>
    <tableColumn id="20" name="DIF"/>
  </tableColumns>
  <tableStyleInfo name="Plantilla DVH-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 Type="http://schemas.openxmlformats.org/officeDocument/2006/relationships/table" Target="/xl/tables/table4.xml" Id="rId2" /><Relationship Type="http://schemas.openxmlformats.org/officeDocument/2006/relationships/table" Target="/xl/tables/table5.xml" Id="rId3" /></Relationships>
</file>

<file path=xl/worksheets/_rels/sheet4.xml.rels><Relationships xmlns="http://schemas.openxmlformats.org/package/2006/relationships"><Relationship Type="http://schemas.openxmlformats.org/officeDocument/2006/relationships/table" Target="/xl/tables/table6.xml" Id="rId1" /><Relationship Type="http://schemas.openxmlformats.org/officeDocument/2006/relationships/table" Target="/xl/tables/table7.xml" Id="rId2" /></Relationships>
</file>

<file path=xl/worksheets/_rels/sheet5.xml.rels><Relationships xmlns="http://schemas.openxmlformats.org/package/2006/relationships"><Relationship Type="http://schemas.openxmlformats.org/officeDocument/2006/relationships/table" Target="/xl/tables/table8.xml" Id="rId1" /><Relationship Type="http://schemas.openxmlformats.org/officeDocument/2006/relationships/table" Target="/xl/tables/table9.xml" Id="rId2" /></Relationships>
</file>

<file path=xl/worksheets/_rels/sheet6.xml.rels><Relationships xmlns="http://schemas.openxmlformats.org/package/2006/relationships"><Relationship Type="http://schemas.openxmlformats.org/officeDocument/2006/relationships/table" Target="/xl/tables/table10.xml" Id="rId1" /></Relationships>
</file>

<file path=xl/worksheets/sheet1.xml><?xml version="1.0" encoding="utf-8"?>
<worksheet xmlns="http://schemas.openxmlformats.org/spreadsheetml/2006/main">
  <sheetPr>
    <outlinePr summaryBelow="0" summaryRight="0"/>
    <pageSetUpPr/>
  </sheetPr>
  <dimension ref="A1:N48"/>
  <sheetViews>
    <sheetView tabSelected="1" workbookViewId="0">
      <pane ySplit="1" topLeftCell="A3" activePane="bottomLeft" state="frozen"/>
      <selection pane="bottomLeft" activeCell="C36" sqref="C36"/>
    </sheetView>
  </sheetViews>
  <sheetFormatPr baseColWidth="10" defaultColWidth="12.5703125" defaultRowHeight="15.75" customHeight="1"/>
  <cols>
    <col width="17.42578125" customWidth="1" style="49" min="1" max="1"/>
    <col width="18.85546875" customWidth="1" style="49" min="2" max="2"/>
    <col width="12" customWidth="1" style="49" min="3" max="3"/>
    <col width="18" customWidth="1" style="49" min="4" max="4"/>
    <col width="12.7109375" customWidth="1" style="49" min="5" max="5"/>
    <col width="16.42578125" customWidth="1" style="49" min="6" max="6"/>
    <col width="16.5703125" customWidth="1" style="49" min="7" max="7"/>
    <col width="15.85546875" customWidth="1" style="49" min="8" max="8"/>
    <col width="13" customWidth="1" style="49" min="9" max="9"/>
    <col width="5.42578125" customWidth="1" style="49" min="10" max="10"/>
    <col width="17.85546875" customWidth="1" style="49" min="11" max="11"/>
  </cols>
  <sheetData>
    <row r="1" ht="22.5" customHeight="1" s="49">
      <c r="A1" s="1" t="inlineStr">
        <is>
          <t>Columna 1</t>
        </is>
      </c>
      <c r="B1" s="2" t="inlineStr">
        <is>
          <t>Total pedido S/iva</t>
        </is>
      </c>
      <c r="C1" s="2" t="inlineStr">
        <is>
          <t xml:space="preserve"> Uso</t>
        </is>
      </c>
      <c r="D1" s="1" t="inlineStr">
        <is>
          <t>C/IVA</t>
        </is>
      </c>
      <c r="E1" s="1" t="inlineStr">
        <is>
          <t>Desc</t>
        </is>
      </c>
      <c r="F1" s="1" t="inlineStr">
        <is>
          <t>Incidencia</t>
        </is>
      </c>
      <c r="J1" s="3" t="n"/>
      <c r="K1" s="3" t="n"/>
    </row>
    <row r="2" ht="22.5" customHeight="1" s="49">
      <c r="A2" s="4" t="inlineStr">
        <is>
          <t>Perfiles</t>
        </is>
      </c>
      <c r="B2" s="5">
        <f>'Plantilla Pedido'!L2-'Plantilla Retazo'!K4-'Plantilla Retazo'!W4</f>
        <v/>
      </c>
      <c r="C2" s="6" t="n">
        <v>1</v>
      </c>
      <c r="D2" s="5">
        <f>B2*1.21*C2</f>
        <v/>
      </c>
      <c r="E2" s="5">
        <f>B2*1.105*C2</f>
        <v/>
      </c>
      <c r="F2" s="7">
        <f>IF(B2="","",E2/$E$11)</f>
        <v/>
      </c>
      <c r="H2" s="50" t="inlineStr">
        <is>
          <t>Perfiles</t>
        </is>
      </c>
      <c r="I2" s="51" t="n"/>
      <c r="J2" s="3" t="n"/>
      <c r="K2" s="50" t="inlineStr">
        <is>
          <t xml:space="preserve">Vidrios </t>
        </is>
      </c>
      <c r="L2" s="51" t="n"/>
    </row>
    <row r="3" ht="22.5" customHeight="1" s="49">
      <c r="A3" s="4" t="inlineStr">
        <is>
          <t>Accesorios resto</t>
        </is>
      </c>
      <c r="B3" s="5" t="n"/>
      <c r="C3" s="8" t="n">
        <v>1</v>
      </c>
      <c r="D3" s="5">
        <f>B3*1.21</f>
        <v/>
      </c>
      <c r="E3" s="5">
        <f>B3*1.105</f>
        <v/>
      </c>
      <c r="F3" s="7">
        <f>IF(B3="","",E3/$E$11)</f>
        <v/>
      </c>
      <c r="H3" s="52" t="inlineStr">
        <is>
          <t>Kg consumidos</t>
        </is>
      </c>
      <c r="I3" s="52" t="n">
        <v>1</v>
      </c>
      <c r="J3" s="3" t="n"/>
      <c r="K3" s="52" t="inlineStr">
        <is>
          <t>m2 utilizados</t>
        </is>
      </c>
      <c r="L3" s="10">
        <f>SUM(B6:B7)*1.105</f>
        <v/>
      </c>
    </row>
    <row r="4" ht="22.5" customHeight="1" s="49">
      <c r="A4" s="4" t="inlineStr">
        <is>
          <t>Bipuntos</t>
        </is>
      </c>
      <c r="B4" s="5" t="n">
        <v>0</v>
      </c>
      <c r="C4" s="8" t="n">
        <v>1</v>
      </c>
      <c r="D4" s="5">
        <f>B4*1.21</f>
        <v/>
      </c>
      <c r="E4" s="5">
        <f>B4*1.105</f>
        <v/>
      </c>
      <c r="F4" s="7">
        <f>IF(B4="","",E4/$E$11)</f>
        <v/>
      </c>
      <c r="H4" s="52" t="inlineStr">
        <is>
          <t>Kg comprados</t>
        </is>
      </c>
      <c r="I4" s="52" t="n">
        <v>1</v>
      </c>
      <c r="J4" s="3" t="n"/>
      <c r="K4" s="52" t="inlineStr">
        <is>
          <t>% perdidas estimado</t>
        </is>
      </c>
      <c r="L4" s="11" t="n">
        <v>0.2</v>
      </c>
    </row>
    <row r="5" ht="22.5" customHeight="1" s="49">
      <c r="A5" s="4" t="inlineStr">
        <is>
          <t>Desperdicio perfiles</t>
        </is>
      </c>
      <c r="B5" s="5" t="n"/>
      <c r="C5" s="8" t="n">
        <v>1</v>
      </c>
      <c r="D5" s="5">
        <f>B5*1.21*C5</f>
        <v/>
      </c>
      <c r="E5" s="5">
        <f>B5*1.105*C5</f>
        <v/>
      </c>
      <c r="F5" s="7">
        <f>IF(B5="","",E5/$E$11)</f>
        <v/>
      </c>
      <c r="H5" s="52" t="inlineStr">
        <is>
          <t>Factor de seguridad</t>
        </is>
      </c>
      <c r="I5" s="11" t="n">
        <v>0</v>
      </c>
      <c r="J5" s="12" t="n"/>
      <c r="K5" s="52" t="inlineStr">
        <is>
          <t>Costo real est</t>
        </is>
      </c>
      <c r="L5" s="10">
        <f>L3*(1+L4)</f>
        <v/>
      </c>
    </row>
    <row r="6" ht="22.5" customHeight="1" s="49">
      <c r="A6" s="4" t="inlineStr">
        <is>
          <t>Vidrios LAMIN</t>
        </is>
      </c>
      <c r="B6" s="5" t="n"/>
      <c r="C6" s="8" t="n">
        <v>1</v>
      </c>
      <c r="D6" s="5">
        <f>B6*1.21</f>
        <v/>
      </c>
      <c r="E6" s="5">
        <f>B6*1.105</f>
        <v/>
      </c>
      <c r="F6" s="7">
        <f>IF(B6="","",E6/$E$11)</f>
        <v/>
      </c>
      <c r="H6" s="50" t="inlineStr">
        <is>
          <t>CF</t>
        </is>
      </c>
      <c r="I6" s="51" t="n"/>
      <c r="J6" s="13" t="n"/>
      <c r="K6" s="52" t="inlineStr">
        <is>
          <t>Beneficio real est</t>
        </is>
      </c>
      <c r="L6" s="10">
        <f>F16+F17-L5</f>
        <v/>
      </c>
    </row>
    <row r="7" ht="22.5" customHeight="1" s="49">
      <c r="A7" s="4" t="inlineStr">
        <is>
          <t>Vidrios Crudos</t>
        </is>
      </c>
      <c r="B7" s="5" t="n">
        <v>0</v>
      </c>
      <c r="C7" s="8" t="n">
        <v>1</v>
      </c>
      <c r="D7" s="5">
        <f>B7*1.21</f>
        <v/>
      </c>
      <c r="E7" s="5">
        <f>B7*1.105</f>
        <v/>
      </c>
      <c r="F7" s="7">
        <f>IF(B7="","",E7/$E$11)</f>
        <v/>
      </c>
      <c r="H7" s="52" t="inlineStr">
        <is>
          <t>$/dia MO</t>
        </is>
      </c>
      <c r="I7" s="10" t="n">
        <v>461529</v>
      </c>
      <c r="J7" s="13" t="n"/>
      <c r="K7" s="48" t="n"/>
    </row>
    <row r="8" ht="22.5" customHeight="1" s="49">
      <c r="A8" s="4" t="inlineStr">
        <is>
          <t>Vidrios Vidrial DVH</t>
        </is>
      </c>
      <c r="B8" s="5" t="n"/>
      <c r="C8" s="8" t="n">
        <v>1</v>
      </c>
      <c r="D8" s="5">
        <f>B8*1.21</f>
        <v/>
      </c>
      <c r="E8" s="5">
        <f>B8*1.105</f>
        <v/>
      </c>
      <c r="F8" s="7">
        <f>IF(B8="","",E8/$E$11)</f>
        <v/>
      </c>
      <c r="H8" s="52" t="inlineStr">
        <is>
          <t>Dias previstos</t>
        </is>
      </c>
      <c r="I8" s="14" t="n">
        <v>0</v>
      </c>
      <c r="J8" s="15" t="n"/>
      <c r="K8" s="3" t="n"/>
      <c r="L8" s="16" t="n"/>
    </row>
    <row r="9" ht="22.5" customHeight="1" s="49">
      <c r="A9" t="inlineStr">
        <is>
          <t>Vidrios Vidrial Templados</t>
        </is>
      </c>
      <c r="C9" t="n">
        <v>1</v>
      </c>
      <c r="D9">
        <f>B9*1.21</f>
        <v/>
      </c>
      <c r="E9">
        <f>B9*1.105</f>
        <v/>
      </c>
      <c r="F9">
        <f>IF(B9="","",E9/$E$11)</f>
        <v/>
      </c>
    </row>
    <row r="10" ht="22.5" customHeight="1" s="49">
      <c r="A10" s="4" t="inlineStr">
        <is>
          <t>ITEM EXTRA</t>
        </is>
      </c>
      <c r="B10" s="5" t="n">
        <v>0</v>
      </c>
      <c r="C10" s="8" t="n">
        <v>1</v>
      </c>
      <c r="D10" s="5">
        <f>B9*1.21</f>
        <v/>
      </c>
      <c r="E10" s="5">
        <f>B9*1.105</f>
        <v/>
      </c>
      <c r="F10" s="7">
        <f>IF(B9="","",E9/$E$11)</f>
        <v/>
      </c>
      <c r="H10" s="52" t="inlineStr">
        <is>
          <t>Total MO</t>
        </is>
      </c>
      <c r="I10" s="17">
        <f>I7*I8</f>
        <v/>
      </c>
      <c r="K10" s="3" t="n"/>
      <c r="L10" s="3" t="n"/>
    </row>
    <row r="11" ht="12.75" customHeight="1" s="49">
      <c r="A11" s="4" t="inlineStr">
        <is>
          <t>Total</t>
        </is>
      </c>
      <c r="B11" s="5">
        <f>SUM(B2:B10)</f>
        <v/>
      </c>
      <c r="C11" s="8" t="n"/>
      <c r="D11" s="5">
        <f>SUM(D2:D10)</f>
        <v/>
      </c>
      <c r="E11" s="5">
        <f>SUM(E2:E10)</f>
        <v/>
      </c>
      <c r="F11" s="7">
        <f>IF(F2="","",SUM(F2:F10))</f>
        <v/>
      </c>
      <c r="K11" s="3" t="n"/>
      <c r="L11" s="18" t="n"/>
    </row>
    <row r="12" ht="12.75" customHeight="1" s="49">
      <c r="H12" s="16">
        <f>+E10/7</f>
        <v/>
      </c>
    </row>
    <row r="13" ht="12.75" customHeight="1" s="49">
      <c r="K13" s="52" t="inlineStr">
        <is>
          <t>Sobre compra</t>
        </is>
      </c>
      <c r="L13" s="53" t="n"/>
      <c r="M13" s="51" t="n"/>
    </row>
    <row r="14" ht="12.75" customHeight="1" s="49">
      <c r="A14" s="52" t="inlineStr">
        <is>
          <t>Desgloce</t>
        </is>
      </c>
      <c r="B14" s="52" t="inlineStr">
        <is>
          <t>C/IVA</t>
        </is>
      </c>
      <c r="C14" s="52" t="inlineStr">
        <is>
          <t>Desc</t>
        </is>
      </c>
      <c r="D14" s="52" t="inlineStr">
        <is>
          <t>Utilidad propuesta</t>
        </is>
      </c>
      <c r="E14" s="52" t="inlineStr">
        <is>
          <t>Total C /IVa</t>
        </is>
      </c>
      <c r="F14" s="52" t="inlineStr">
        <is>
          <t>Total Desc</t>
        </is>
      </c>
      <c r="G14" s="52" t="inlineStr">
        <is>
          <t>Total Base c recargo</t>
        </is>
      </c>
      <c r="K14" s="52" t="inlineStr">
        <is>
          <t>s/IVA</t>
        </is>
      </c>
      <c r="L14" s="52" t="inlineStr">
        <is>
          <t>c/IVA</t>
        </is>
      </c>
      <c r="M14" s="52" t="inlineStr">
        <is>
          <t>c/10,5%</t>
        </is>
      </c>
    </row>
    <row r="15" ht="12.75" customHeight="1" s="49">
      <c r="A15" s="52" t="inlineStr">
        <is>
          <t>Total Perfiles</t>
        </is>
      </c>
      <c r="B15" s="10">
        <f>D2</f>
        <v/>
      </c>
      <c r="C15" s="10">
        <f>E2</f>
        <v/>
      </c>
      <c r="D15" s="11" t="n">
        <v>0.55</v>
      </c>
      <c r="E15" s="10">
        <f>B14*(1+$D14)+D5</f>
        <v/>
      </c>
      <c r="F15" s="10">
        <f>C14*(1+$D14)+E5</f>
        <v/>
      </c>
      <c r="G15" s="10">
        <f>F14*1.15/1.21</f>
        <v/>
      </c>
      <c r="K15" s="10">
        <f>B10</f>
        <v/>
      </c>
      <c r="L15" s="10">
        <f>B10*1.21</f>
        <v/>
      </c>
      <c r="M15" s="10">
        <f>B10*1.105</f>
        <v/>
      </c>
    </row>
    <row r="16" ht="12.75" customHeight="1" s="49">
      <c r="A16" s="52" t="inlineStr">
        <is>
          <t>Total accesorios</t>
        </is>
      </c>
      <c r="B16" s="10">
        <f>D3+D4</f>
        <v/>
      </c>
      <c r="C16" s="10">
        <f>E3+E4</f>
        <v/>
      </c>
      <c r="D16" s="11" t="n">
        <v>0.53</v>
      </c>
      <c r="E16" s="10">
        <f>B15*(1+$D15)</f>
        <v/>
      </c>
      <c r="F16" s="10">
        <f>C15*(1+$D15)</f>
        <v/>
      </c>
      <c r="G16" s="10">
        <f>F15*1.15/1.21</f>
        <v/>
      </c>
      <c r="K16" s="52" t="inlineStr">
        <is>
          <t>Rentabilidad s/variable</t>
        </is>
      </c>
      <c r="L16" s="10">
        <f>G28*1.105-L14</f>
        <v/>
      </c>
      <c r="M16" s="10">
        <f>F28-M14</f>
        <v/>
      </c>
    </row>
    <row r="17" ht="12.75" customHeight="1" s="49">
      <c r="A17" s="52" t="inlineStr">
        <is>
          <t>Total vidrios lamin</t>
        </is>
      </c>
      <c r="B17" s="10">
        <f>D6</f>
        <v/>
      </c>
      <c r="C17" s="10">
        <f>E6</f>
        <v/>
      </c>
      <c r="D17" s="11" t="n">
        <v>1</v>
      </c>
      <c r="E17" s="10">
        <f>B16*(1+$D16)</f>
        <v/>
      </c>
      <c r="F17" s="10">
        <f>C16*(1+$D16)</f>
        <v/>
      </c>
      <c r="G17" s="10">
        <f>F16*1.15/1.21</f>
        <v/>
      </c>
    </row>
    <row r="18" ht="12.75" customHeight="1" s="49">
      <c r="A18" s="52" t="inlineStr">
        <is>
          <t>Total vidrios crudos</t>
        </is>
      </c>
      <c r="B18" s="10">
        <f>D7</f>
        <v/>
      </c>
      <c r="C18" s="10">
        <f>E7</f>
        <v/>
      </c>
      <c r="D18" s="11" t="n">
        <v>0.8</v>
      </c>
      <c r="E18" s="10">
        <f>B17*(1+$D$17)</f>
        <v/>
      </c>
      <c r="F18" s="10">
        <f>C17*(1+$D$17)</f>
        <v/>
      </c>
      <c r="G18" s="10">
        <f>F17*1.15/1.21</f>
        <v/>
      </c>
      <c r="I18" s="16" t="n"/>
      <c r="K18" s="3" t="inlineStr">
        <is>
          <t xml:space="preserve">Extras </t>
        </is>
      </c>
    </row>
    <row r="19" ht="12.75" customHeight="1" s="49">
      <c r="A19" s="52" t="inlineStr">
        <is>
          <t>Total vidrial</t>
        </is>
      </c>
      <c r="B19" s="10">
        <f>D8</f>
        <v/>
      </c>
      <c r="C19" s="10">
        <f>E8</f>
        <v/>
      </c>
      <c r="D19" s="11" t="n">
        <v>0.5</v>
      </c>
      <c r="E19" s="10">
        <f>B18*(1+$D18)</f>
        <v/>
      </c>
      <c r="F19" s="10">
        <f>C18*(1+$D18)</f>
        <v/>
      </c>
      <c r="G19" s="10">
        <f>F18*1.15/1.21</f>
        <v/>
      </c>
      <c r="K19" s="3" t="inlineStr">
        <is>
          <t>Acristalamiento en altura</t>
        </is>
      </c>
    </row>
    <row r="20" ht="12.75" customHeight="1" s="49">
      <c r="A20" s="52" t="inlineStr">
        <is>
          <t>Total tela mos</t>
        </is>
      </c>
      <c r="B20" s="10">
        <f>D9</f>
        <v/>
      </c>
      <c r="C20" s="10">
        <f>E9</f>
        <v/>
      </c>
      <c r="D20" s="11" t="n">
        <v>1</v>
      </c>
      <c r="E20" s="10">
        <f>B19*(1+$D19)</f>
        <v/>
      </c>
      <c r="F20" s="10">
        <f>C19*(1+$D19)</f>
        <v/>
      </c>
      <c r="G20" s="10">
        <f>F19*1.15/1.21</f>
        <v/>
      </c>
    </row>
    <row r="21" ht="12.75" customHeight="1" s="49">
      <c r="A21" s="52" t="inlineStr">
        <is>
          <t>Total</t>
        </is>
      </c>
      <c r="B21" s="10">
        <f>SUM(B14:B19)</f>
        <v/>
      </c>
      <c r="C21" s="10">
        <f>SUM(C14:C19)</f>
        <v/>
      </c>
      <c r="D21" s="52" t="n"/>
      <c r="E21" s="10">
        <f>SUM(E14:E19)</f>
        <v/>
      </c>
      <c r="F21" s="10">
        <f>SUM(F14:F19)</f>
        <v/>
      </c>
      <c r="G21" s="10">
        <f>SUM(G14:G19)</f>
        <v/>
      </c>
      <c r="N21" s="16">
        <f>270000</f>
        <v/>
      </c>
    </row>
    <row r="22" ht="12.75" customHeight="1" s="49">
      <c r="N22" s="16" t="n">
        <v>240000</v>
      </c>
    </row>
    <row r="23" ht="12.75" customHeight="1" s="49">
      <c r="A23" s="52" t="inlineStr">
        <is>
          <t>%Utilidad nec SOFT</t>
        </is>
      </c>
      <c r="B23" s="11">
        <f>IF(G28=0,"",(G28/B25*(1+B26)-1))</f>
        <v/>
      </c>
      <c r="D23" s="52" t="n"/>
      <c r="E23" s="52" t="inlineStr">
        <is>
          <t>Total c/IVA</t>
        </is>
      </c>
      <c r="F23" s="52" t="inlineStr">
        <is>
          <t>Total Desc</t>
        </is>
      </c>
      <c r="G23" s="52" t="inlineStr">
        <is>
          <t>Base s/Iva</t>
        </is>
      </c>
      <c r="N23" s="16">
        <f>N21+N20</f>
        <v/>
      </c>
    </row>
    <row r="24" ht="12.75" customHeight="1" s="49">
      <c r="A24" s="52" t="inlineStr">
        <is>
          <t>Lista de precios</t>
        </is>
      </c>
      <c r="B24" s="19" t="n"/>
      <c r="D24" s="52" t="inlineStr">
        <is>
          <t>Precios por defecto</t>
        </is>
      </c>
      <c r="E24" s="10">
        <f>F20*1.15</f>
        <v/>
      </c>
      <c r="F24" s="10">
        <f>E23/1.15</f>
        <v/>
      </c>
      <c r="G24" s="10">
        <f>E23/1.21</f>
        <v/>
      </c>
      <c r="I24" s="16" t="n"/>
    </row>
    <row r="25" ht="12.75" customHeight="1" s="49">
      <c r="D25" s="52" t="inlineStr">
        <is>
          <t>Rentabilidad s/variable</t>
        </is>
      </c>
      <c r="E25" s="10">
        <f>E23/1.21*1.105-E10</f>
        <v/>
      </c>
      <c r="F25" s="10">
        <f>F23-$E$10</f>
        <v/>
      </c>
      <c r="H25" s="52" t="inlineStr">
        <is>
          <t>Margen%</t>
        </is>
      </c>
      <c r="J25" s="16" t="n"/>
      <c r="K25" s="16" t="n"/>
      <c r="L25" s="16" t="n"/>
      <c r="M25" s="16" t="n"/>
    </row>
    <row r="26" ht="12.75" customHeight="1" s="49">
      <c r="A26" s="10" t="inlineStr">
        <is>
          <t>PNeto1</t>
        </is>
      </c>
      <c r="B26" s="10" t="n">
        <v>0</v>
      </c>
      <c r="D26" s="52" t="inlineStr">
        <is>
          <t>%markup s/directo</t>
        </is>
      </c>
      <c r="E26" s="11">
        <f>E24/D10</f>
        <v/>
      </c>
      <c r="F26" s="11">
        <f>F24/E10</f>
        <v/>
      </c>
      <c r="H26" s="20">
        <f>F25/(1+F25)</f>
        <v/>
      </c>
      <c r="J26" s="16" t="n"/>
      <c r="K26" s="16" t="n"/>
      <c r="L26" s="16" t="n"/>
      <c r="M26" s="16" t="n"/>
    </row>
    <row r="27" ht="12.75" customHeight="1" s="49">
      <c r="A27" s="52" t="inlineStr">
        <is>
          <t>Utilidad1</t>
        </is>
      </c>
      <c r="B27" s="11" t="n">
        <v>0</v>
      </c>
      <c r="F27" s="16" t="n"/>
      <c r="J27" s="18" t="n"/>
      <c r="K27" s="16" t="n"/>
    </row>
    <row r="28" ht="12.75" customHeight="1" s="49">
      <c r="D28" s="52" t="n"/>
      <c r="E28" s="52" t="inlineStr">
        <is>
          <t>Total c/IVA</t>
        </is>
      </c>
      <c r="F28" s="52" t="inlineStr">
        <is>
          <t>Total Desc</t>
        </is>
      </c>
      <c r="G28" s="52" t="inlineStr">
        <is>
          <t>Base s/Iva</t>
        </is>
      </c>
    </row>
    <row r="29" ht="12.75" customHeight="1" s="49">
      <c r="D29" s="52" t="inlineStr">
        <is>
          <t>Precios enviados</t>
        </is>
      </c>
      <c r="E29" s="10">
        <f>G28*1.21</f>
        <v/>
      </c>
      <c r="F29" s="10">
        <f>E28/1.15</f>
        <v/>
      </c>
      <c r="G29" s="10">
        <f>G23</f>
        <v/>
      </c>
      <c r="H29" s="16" t="n"/>
      <c r="K29" s="16" t="n"/>
    </row>
    <row r="30" ht="12.75" customHeight="1" s="49">
      <c r="D30" s="52" t="inlineStr">
        <is>
          <t>Rentabilidad s/variable</t>
        </is>
      </c>
      <c r="E30" s="10">
        <f>E28/1.21*1.105-$E$10-SUM($E$6:$E$7)*$L$4</f>
        <v/>
      </c>
      <c r="F30" s="10">
        <f>F28-$E$10-SUM($E$6:$E$7)*$L$4</f>
        <v/>
      </c>
      <c r="H30" s="52" t="inlineStr">
        <is>
          <t>Margen%</t>
        </is>
      </c>
      <c r="J30" s="16" t="n"/>
    </row>
    <row r="31">
      <c r="D31" s="52" t="inlineStr">
        <is>
          <t>%markup s/directo</t>
        </is>
      </c>
      <c r="E31" s="11">
        <f>E29/$D$10</f>
        <v/>
      </c>
      <c r="F31" s="11">
        <f>F29/$E$10</f>
        <v/>
      </c>
      <c r="H31" s="20">
        <f>F30/(1+F30)</f>
        <v/>
      </c>
      <c r="J31" s="16" t="n"/>
      <c r="K31" s="16" t="n"/>
      <c r="L31" s="16" t="n"/>
      <c r="M31" s="18" t="n"/>
    </row>
    <row r="32" ht="12.75" customHeight="1" s="49"/>
    <row r="33" ht="12.75" customHeight="1" s="49">
      <c r="D33" s="52" t="n"/>
      <c r="E33" s="52" t="inlineStr">
        <is>
          <t>Total c/IVA</t>
        </is>
      </c>
      <c r="F33" s="52" t="inlineStr">
        <is>
          <t>Total Desc</t>
        </is>
      </c>
      <c r="G33" s="52" t="inlineStr">
        <is>
          <t>Base s/Iva</t>
        </is>
      </c>
    </row>
    <row r="34" ht="12.75" customHeight="1" s="49">
      <c r="D34" s="52" t="inlineStr">
        <is>
          <t>Precios enviados</t>
        </is>
      </c>
      <c r="E34" s="10">
        <f>G33*1.21</f>
        <v/>
      </c>
      <c r="F34" s="10">
        <f>G33*1.105</f>
        <v/>
      </c>
      <c r="G34" s="10">
        <f>G28</f>
        <v/>
      </c>
    </row>
    <row r="35" ht="12.75" customHeight="1" s="49">
      <c r="D35" s="52" t="inlineStr">
        <is>
          <t>Rentabilidad s/variable</t>
        </is>
      </c>
      <c r="E35" s="10">
        <f>E33/1.21*1.105-$E$10-SUM($E$6:$E$7)*$L$4</f>
        <v/>
      </c>
      <c r="F35" s="10">
        <f>F33-$E$10-SUM($E$6:$E$7)*$L$4</f>
        <v/>
      </c>
      <c r="H35" s="52" t="inlineStr">
        <is>
          <t>Margen%</t>
        </is>
      </c>
    </row>
    <row r="36">
      <c r="D36" s="52" t="inlineStr">
        <is>
          <t>%markup s/directo</t>
        </is>
      </c>
      <c r="E36" s="11">
        <f>E34/$D$10</f>
        <v/>
      </c>
      <c r="F36" s="11">
        <f>F34/$E$10</f>
        <v/>
      </c>
      <c r="H36" s="20">
        <f>F35/(1+F35)</f>
        <v/>
      </c>
    </row>
    <row r="37" ht="12.75" customHeight="1" s="49"/>
    <row r="38" ht="12.75" customHeight="1" s="49">
      <c r="D38" s="52" t="n"/>
      <c r="E38" s="52" t="inlineStr">
        <is>
          <t>Total c/IVA</t>
        </is>
      </c>
      <c r="F38" s="52" t="inlineStr">
        <is>
          <t>Total Desc</t>
        </is>
      </c>
      <c r="G38" s="52" t="inlineStr">
        <is>
          <t>Base s/Iva</t>
        </is>
      </c>
    </row>
    <row r="39" ht="12.75" customHeight="1" s="49">
      <c r="B39" s="16" t="n"/>
      <c r="C39" s="18" t="n"/>
      <c r="D39" s="52" t="inlineStr">
        <is>
          <t>Precios enviados</t>
        </is>
      </c>
      <c r="E39" s="10">
        <f>G38*1.21</f>
        <v/>
      </c>
      <c r="F39" s="10" t="n">
        <v>9682520</v>
      </c>
      <c r="G39" s="10">
        <f>G33*0.95</f>
        <v/>
      </c>
      <c r="H39" s="16" t="n"/>
    </row>
    <row r="40" ht="12.75" customHeight="1" s="49">
      <c r="D40" s="52" t="inlineStr">
        <is>
          <t>Rentabilidad s/variable</t>
        </is>
      </c>
      <c r="E40" s="10">
        <f>E38/1.21*1.105-$E$10-SUM($E$6:$E$7)*$L$4</f>
        <v/>
      </c>
      <c r="F40" s="10">
        <f>F38-$E$10-SUM($E$6:$E$7)*$L$4</f>
        <v/>
      </c>
      <c r="H40" s="52" t="inlineStr">
        <is>
          <t>Margen%</t>
        </is>
      </c>
    </row>
    <row r="41">
      <c r="D41" s="52" t="inlineStr">
        <is>
          <t>%markup s/directo</t>
        </is>
      </c>
      <c r="E41" s="11">
        <f>E39/$D$10</f>
        <v/>
      </c>
      <c r="F41" s="11">
        <f>F39/$E$10</f>
        <v/>
      </c>
      <c r="H41" s="20">
        <f>F40/(1+F40)</f>
        <v/>
      </c>
    </row>
    <row r="42"/>
    <row r="43" ht="12.75" customHeight="1" s="49"/>
    <row r="44" ht="12.75" customHeight="1" s="49">
      <c r="C44" s="16" t="n"/>
    </row>
    <row r="45" ht="12.75" customHeight="1" s="49">
      <c r="B45" s="18" t="n"/>
      <c r="C45" s="16" t="n"/>
      <c r="D45" s="16" t="n"/>
    </row>
    <row r="46" ht="12.75" customHeight="1" s="49">
      <c r="B46" s="18" t="n"/>
      <c r="C46" s="16" t="n"/>
      <c r="D46" s="16" t="n"/>
    </row>
    <row r="47" ht="12.75" customHeight="1" s="49">
      <c r="C47" s="13" t="n"/>
      <c r="D47" s="13" t="n"/>
    </row>
    <row r="48">
      <c r="C48" s="18" t="n"/>
      <c r="D48" s="18" t="n"/>
    </row>
  </sheetData>
  <mergeCells count="5">
    <mergeCell ref="K7:L7"/>
    <mergeCell ref="H2:I2"/>
    <mergeCell ref="H6:I6"/>
    <mergeCell ref="K2:L2"/>
    <mergeCell ref="K12:M12"/>
  </mergeCells>
  <dataValidations count="1">
    <dataValidation sqref="C2:F10" showDropDown="1" showInputMessage="0" showErrorMessage="0" allowBlank="1" type="custom">
      <formula1>AND(ISNUMBER(C2),(NOT(OR(NOT(ISERROR(DATEVALUE(C2))), AND(ISNUMBER(C2), LEFT(CELL("format", C2))="D")))))</formula1>
    </dataValidation>
  </dataValidations>
  <pageMargins left="0.75" right="0.75" top="1" bottom="1" header="0.5" footer="0.5"/>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N1000"/>
  <sheetViews>
    <sheetView topLeftCell="A2" workbookViewId="0">
      <selection activeCell="H24" sqref="H24"/>
    </sheetView>
  </sheetViews>
  <sheetFormatPr baseColWidth="10" defaultColWidth="12.5703125" defaultRowHeight="15.75" customHeight="1"/>
  <cols>
    <col width="10.85546875" customWidth="1" style="49" min="1" max="1"/>
    <col width="46.5703125" customWidth="1" style="49" min="2" max="2"/>
    <col width="12.7109375" customWidth="1" style="49" min="3" max="3"/>
  </cols>
  <sheetData>
    <row r="1">
      <c r="A1" s="3" t="n">
        <v>1</v>
      </c>
      <c r="B1" s="3" t="n">
        <v>2</v>
      </c>
      <c r="C1" s="3" t="n">
        <v>3</v>
      </c>
      <c r="D1" s="3" t="n">
        <v>4</v>
      </c>
      <c r="E1" s="3" t="n">
        <v>5</v>
      </c>
      <c r="F1" s="3" t="n">
        <v>6</v>
      </c>
      <c r="G1" s="3" t="n">
        <v>7</v>
      </c>
      <c r="H1" s="3" t="n">
        <v>8</v>
      </c>
      <c r="I1" s="3" t="n">
        <v>9</v>
      </c>
      <c r="J1" s="3" t="n">
        <v>10</v>
      </c>
      <c r="K1" s="3" t="n">
        <v>11</v>
      </c>
      <c r="L1" s="3" t="n">
        <v>12</v>
      </c>
      <c r="M1" s="3" t="n">
        <v>13</v>
      </c>
      <c r="N1" s="3" t="n">
        <v>14</v>
      </c>
    </row>
    <row r="2">
      <c r="A2" s="3" t="inlineStr">
        <is>
          <t>Código</t>
        </is>
      </c>
      <c r="B2" s="3" t="inlineStr">
        <is>
          <t>Descripción</t>
        </is>
      </c>
      <c r="C2" s="3" t="inlineStr">
        <is>
          <t>Largo STD</t>
        </is>
      </c>
      <c r="D2" s="3" t="inlineStr">
        <is>
          <t>Kg/m</t>
        </is>
      </c>
      <c r="E2" s="21" t="inlineStr">
        <is>
          <t>Kg/barra</t>
        </is>
      </c>
      <c r="F2" s="3" t="inlineStr">
        <is>
          <t>A s/IVA</t>
        </is>
      </c>
      <c r="G2" s="3" t="inlineStr">
        <is>
          <t>B s/IVA</t>
        </is>
      </c>
      <c r="H2" s="3" t="inlineStr">
        <is>
          <t>N s/IVA</t>
        </is>
      </c>
      <c r="I2" s="16" t="inlineStr">
        <is>
          <t>A c 10,5</t>
        </is>
      </c>
      <c r="J2" s="16" t="inlineStr">
        <is>
          <t>B c 10,5</t>
        </is>
      </c>
      <c r="K2" s="21" t="inlineStr">
        <is>
          <t>N c 10,5</t>
        </is>
      </c>
      <c r="L2" s="3" t="inlineStr">
        <is>
          <t>A c/IVA</t>
        </is>
      </c>
      <c r="M2" s="3" t="inlineStr">
        <is>
          <t>B c/IVA</t>
        </is>
      </c>
      <c r="N2" s="3" t="inlineStr">
        <is>
          <t>N c/IVA</t>
        </is>
      </c>
    </row>
    <row r="3">
      <c r="A3" s="3" t="n">
        <v>6</v>
      </c>
      <c r="B3" s="3" t="inlineStr">
        <is>
          <t>TABLILLA POSTIGON TROQUELADA</t>
        </is>
      </c>
      <c r="C3" s="3" t="n">
        <v>6030</v>
      </c>
      <c r="D3" s="3" t="n"/>
      <c r="E3" s="22">
        <f>D3*C3/1000</f>
        <v/>
      </c>
      <c r="F3" s="16">
        <f>L3/1.21</f>
        <v/>
      </c>
      <c r="G3" s="16">
        <f>M3/1.21</f>
        <v/>
      </c>
      <c r="H3" s="16">
        <f>N3/1.21</f>
        <v/>
      </c>
      <c r="I3" s="16">
        <f>F3*1.105</f>
        <v/>
      </c>
      <c r="J3" s="16">
        <f>G3*1.105</f>
        <v/>
      </c>
      <c r="K3" s="16">
        <f>H3*1.105</f>
        <v/>
      </c>
      <c r="L3" s="16" t="n">
        <v>32502.54</v>
      </c>
      <c r="M3" s="16" t="n">
        <v>30172.14</v>
      </c>
      <c r="N3" s="16" t="n">
        <v>32411.68</v>
      </c>
    </row>
    <row r="4">
      <c r="A4" s="3" t="n">
        <v>200</v>
      </c>
      <c r="B4" s="3" t="inlineStr">
        <is>
          <t>NEGRO (A)"</t>
        </is>
      </c>
      <c r="C4" s="3" t="n">
        <v>6150</v>
      </c>
      <c r="D4" s="3" t="n">
        <v>1.266</v>
      </c>
      <c r="E4" s="22">
        <f>D4*C4/1000</f>
        <v/>
      </c>
      <c r="F4" s="16">
        <f>L4/1.21</f>
        <v/>
      </c>
      <c r="G4" s="16">
        <f>M4/1.21</f>
        <v/>
      </c>
      <c r="H4" s="16">
        <f>N4/1.21</f>
        <v/>
      </c>
      <c r="I4" s="16">
        <f>F4*1.105</f>
        <v/>
      </c>
      <c r="J4" s="16">
        <f>G4*1.105</f>
        <v/>
      </c>
      <c r="K4" s="16">
        <f>H4*1.105</f>
        <v/>
      </c>
      <c r="L4" s="16" t="n">
        <v>161735.16</v>
      </c>
      <c r="M4" s="16" t="n">
        <v>141534.4</v>
      </c>
      <c r="N4" s="16" t="n">
        <v>149334.79</v>
      </c>
    </row>
    <row r="5">
      <c r="A5" s="3" t="n">
        <v>201</v>
      </c>
      <c r="B5" s="3" t="inlineStr">
        <is>
          <t>NEGRO (A)"</t>
        </is>
      </c>
      <c r="C5" s="3" t="n">
        <v>6150</v>
      </c>
      <c r="D5" s="3" t="n">
        <v>0.662</v>
      </c>
      <c r="E5" s="22">
        <f>D5*C5/1000</f>
        <v/>
      </c>
      <c r="F5" s="16">
        <f>L5/1.21</f>
        <v/>
      </c>
      <c r="G5" s="16">
        <f>M5/1.21</f>
        <v/>
      </c>
      <c r="H5" s="16">
        <f>N5/1.21</f>
        <v/>
      </c>
      <c r="I5" s="16">
        <f>F5*1.105</f>
        <v/>
      </c>
      <c r="J5" s="16">
        <f>G5*1.105</f>
        <v/>
      </c>
      <c r="K5" s="16">
        <f>H5*1.105</f>
        <v/>
      </c>
      <c r="L5" s="16" t="n">
        <v>84577.10000000001</v>
      </c>
      <c r="M5" s="16" t="n">
        <v>73972.07000000001</v>
      </c>
      <c r="N5" s="16" t="n">
        <v>78048.89999999999</v>
      </c>
    </row>
    <row r="6">
      <c r="A6" s="3" t="n">
        <v>203</v>
      </c>
      <c r="B6" s="3" t="inlineStr">
        <is>
          <t>NEGRO"</t>
        </is>
      </c>
      <c r="C6" s="3" t="n">
        <v>6150</v>
      </c>
      <c r="D6" s="3" t="n">
        <v>0.716</v>
      </c>
      <c r="E6" s="22">
        <f>D6*C6/1000</f>
        <v/>
      </c>
      <c r="F6" s="16">
        <f>L6/1.21</f>
        <v/>
      </c>
      <c r="G6" s="16">
        <f>M6/1.21</f>
        <v/>
      </c>
      <c r="H6" s="16">
        <f>N6/1.21</f>
        <v/>
      </c>
      <c r="I6" s="16">
        <f>F6*1.105</f>
        <v/>
      </c>
      <c r="J6" s="16">
        <f>G6*1.105</f>
        <v/>
      </c>
      <c r="K6" s="16">
        <f>H6*1.105</f>
        <v/>
      </c>
      <c r="L6" s="16" t="n">
        <v>83216.95</v>
      </c>
      <c r="M6" s="16" t="n">
        <v>72759.42</v>
      </c>
      <c r="N6" s="16" t="n">
        <v>76769.42</v>
      </c>
    </row>
    <row r="7">
      <c r="A7" s="3" t="n">
        <v>204</v>
      </c>
      <c r="B7" s="3" t="inlineStr">
        <is>
          <t>NEGRO (A)"</t>
        </is>
      </c>
      <c r="C7" s="3" t="n">
        <v>6030</v>
      </c>
      <c r="D7" s="3" t="n">
        <v>0.705</v>
      </c>
      <c r="E7" s="22">
        <f>D7*C7/1000</f>
        <v/>
      </c>
      <c r="F7" s="16">
        <f>L7/1.21</f>
        <v/>
      </c>
      <c r="G7" s="16">
        <f>M7/1.21</f>
        <v/>
      </c>
      <c r="H7" s="16">
        <f>N7/1.21</f>
        <v/>
      </c>
      <c r="I7" s="16">
        <f>F7*1.105</f>
        <v/>
      </c>
      <c r="J7" s="16">
        <f>G7*1.105</f>
        <v/>
      </c>
      <c r="K7" s="16">
        <f>H7*1.105</f>
        <v/>
      </c>
      <c r="L7" s="16" t="n">
        <v>88410.27</v>
      </c>
      <c r="M7" s="16" t="n">
        <v>77263.58</v>
      </c>
      <c r="N7" s="16" t="n">
        <v>81521.81</v>
      </c>
    </row>
    <row r="8">
      <c r="A8" s="3" t="n">
        <v>205</v>
      </c>
      <c r="B8" s="3" t="inlineStr">
        <is>
          <t>PREMARCO 37MM</t>
        </is>
      </c>
      <c r="C8" s="3" t="n">
        <v>6150</v>
      </c>
      <c r="D8" s="3" t="n">
        <v>0.327</v>
      </c>
      <c r="E8" s="22">
        <f>D8*C8/1000</f>
        <v/>
      </c>
      <c r="F8" s="16">
        <f>L8/1.21</f>
        <v/>
      </c>
      <c r="G8" s="16">
        <f>M8/1.21</f>
        <v/>
      </c>
      <c r="H8" s="16">
        <f>N8/1.21</f>
        <v/>
      </c>
      <c r="I8" s="16">
        <f>F8*1.105</f>
        <v/>
      </c>
      <c r="J8" s="16">
        <f>G8*1.105</f>
        <v/>
      </c>
      <c r="K8" s="16">
        <f>H8*1.105</f>
        <v/>
      </c>
      <c r="L8" s="16" t="n">
        <v>30866.79</v>
      </c>
      <c r="M8" s="16" t="n">
        <v>30866.79</v>
      </c>
      <c r="N8" s="16" t="n">
        <v>30866.79</v>
      </c>
    </row>
    <row r="9">
      <c r="A9" s="3" t="n">
        <v>206</v>
      </c>
      <c r="B9" s="3" t="inlineStr">
        <is>
          <t>NEGRO (A)"</t>
        </is>
      </c>
      <c r="C9" s="3" t="n">
        <v>6150</v>
      </c>
      <c r="D9" s="3" t="n">
        <v>0.184</v>
      </c>
      <c r="E9" s="22">
        <f>D9*C9/1000</f>
        <v/>
      </c>
      <c r="F9" s="16">
        <f>L9/1.21</f>
        <v/>
      </c>
      <c r="G9" s="16">
        <f>M9/1.21</f>
        <v/>
      </c>
      <c r="H9" s="16">
        <f>N9/1.21</f>
        <v/>
      </c>
      <c r="I9" s="16">
        <f>F9*1.105</f>
        <v/>
      </c>
      <c r="J9" s="16">
        <f>G9*1.105</f>
        <v/>
      </c>
      <c r="K9" s="16">
        <f>H9*1.105</f>
        <v/>
      </c>
      <c r="L9" s="16" t="n">
        <v>23617.29</v>
      </c>
      <c r="M9" s="16" t="n">
        <v>21308.12</v>
      </c>
      <c r="N9" s="16" t="n">
        <v>22482.47</v>
      </c>
    </row>
    <row r="10">
      <c r="A10" s="3" t="n">
        <v>207</v>
      </c>
      <c r="B10" s="3" t="inlineStr">
        <is>
          <t>NEGRO (A)"</t>
        </is>
      </c>
      <c r="C10" s="3" t="n">
        <v>6150</v>
      </c>
      <c r="D10" s="3" t="n">
        <v>0.613</v>
      </c>
      <c r="E10" s="22">
        <f>D10*C10/1000</f>
        <v/>
      </c>
      <c r="F10" s="16">
        <f>L10/1.21</f>
        <v/>
      </c>
      <c r="G10" s="16">
        <f>M10/1.21</f>
        <v/>
      </c>
      <c r="H10" s="16">
        <f>N10/1.21</f>
        <v/>
      </c>
      <c r="I10" s="16">
        <f>F10*1.105</f>
        <v/>
      </c>
      <c r="J10" s="16">
        <f>G10*1.105</f>
        <v/>
      </c>
      <c r="K10" s="16">
        <f>H10*1.105</f>
        <v/>
      </c>
      <c r="L10" s="16" t="n">
        <v>78394.57000000001</v>
      </c>
      <c r="M10" s="16" t="n">
        <v>68601.75</v>
      </c>
      <c r="N10" s="16" t="n">
        <v>72382.59</v>
      </c>
    </row>
    <row r="11">
      <c r="A11" s="3" t="n">
        <v>209</v>
      </c>
      <c r="B11" s="3" t="inlineStr">
        <is>
          <t>ZOCALO ALTO</t>
        </is>
      </c>
      <c r="C11" s="3" t="n">
        <v>6030</v>
      </c>
      <c r="D11" s="3" t="n">
        <v>1.256</v>
      </c>
      <c r="E11" s="22">
        <f>D11*C11/1000</f>
        <v/>
      </c>
      <c r="F11" s="16">
        <f>L11/1.21</f>
        <v/>
      </c>
      <c r="G11" s="16">
        <f>M11/1.21</f>
        <v/>
      </c>
      <c r="H11" s="16">
        <f>N11/1.21</f>
        <v/>
      </c>
      <c r="I11" s="16">
        <f>F11*1.105</f>
        <v/>
      </c>
      <c r="J11" s="16">
        <f>G11*1.105</f>
        <v/>
      </c>
      <c r="K11" s="16">
        <f>H11*1.105</f>
        <v/>
      </c>
      <c r="L11" s="16" t="n">
        <v>157407.38</v>
      </c>
      <c r="M11" s="16" t="n">
        <v>145127.56</v>
      </c>
      <c r="N11" s="16" t="n">
        <v>150158</v>
      </c>
    </row>
    <row r="12">
      <c r="A12" s="3" t="n">
        <v>213</v>
      </c>
      <c r="B12" s="3" t="inlineStr">
        <is>
          <t>PERFIL DE ACOPLE</t>
        </is>
      </c>
      <c r="C12" s="3" t="n">
        <v>6030</v>
      </c>
      <c r="D12" s="3" t="n">
        <v>0.257</v>
      </c>
      <c r="E12" s="22">
        <f>D12*C12/1000</f>
        <v/>
      </c>
      <c r="F12" s="16">
        <f>L12/1.21</f>
        <v/>
      </c>
      <c r="G12" s="16">
        <f>M12/1.21</f>
        <v/>
      </c>
      <c r="H12" s="16">
        <f>N12/1.21</f>
        <v/>
      </c>
      <c r="I12" s="16">
        <f>F12*1.105</f>
        <v/>
      </c>
      <c r="J12" s="16">
        <f>G12*1.105</f>
        <v/>
      </c>
      <c r="K12" s="16">
        <f>H12*1.105</f>
        <v/>
      </c>
      <c r="L12" s="16" t="n">
        <v>32272.85</v>
      </c>
      <c r="M12" s="16" t="n">
        <v>30732.81</v>
      </c>
      <c r="N12" s="16" t="n">
        <v>29474.86</v>
      </c>
    </row>
    <row r="13">
      <c r="A13" s="3" t="n">
        <v>214</v>
      </c>
      <c r="B13" s="3" t="inlineStr">
        <is>
          <t>JAMBA Y CABEZAL HOJA PUERTA REBATIR</t>
        </is>
      </c>
      <c r="C13" s="3" t="n">
        <v>6150</v>
      </c>
      <c r="D13" s="3" t="n">
        <v>1.088</v>
      </c>
      <c r="E13" s="22">
        <f>D13*C13/1000</f>
        <v/>
      </c>
      <c r="F13" s="16">
        <f>L13/1.21</f>
        <v/>
      </c>
      <c r="G13" s="16">
        <f>M13/1.21</f>
        <v/>
      </c>
      <c r="H13" s="16">
        <f>N13/1.21</f>
        <v/>
      </c>
      <c r="I13" s="16">
        <f>F13*1.105</f>
        <v/>
      </c>
      <c r="J13" s="16">
        <f>G13*1.105</f>
        <v/>
      </c>
      <c r="K13" s="16">
        <f>H13*1.105</f>
        <v/>
      </c>
      <c r="L13" s="16" t="n">
        <v>139107.08</v>
      </c>
      <c r="M13" s="16" t="n">
        <v>117905.05</v>
      </c>
      <c r="N13" s="16" t="n">
        <v>132374</v>
      </c>
    </row>
    <row r="14">
      <c r="A14" s="3" t="n">
        <v>216</v>
      </c>
      <c r="B14" s="3" t="inlineStr">
        <is>
          <t>NEGRO (A)"</t>
        </is>
      </c>
      <c r="C14" s="3" t="n">
        <v>6150</v>
      </c>
      <c r="D14" s="3" t="n">
        <v>0.726</v>
      </c>
      <c r="E14" s="22">
        <f>D14*C14/1000</f>
        <v/>
      </c>
      <c r="F14" s="16">
        <f>L14/1.21</f>
        <v/>
      </c>
      <c r="G14" s="16">
        <f>M14/1.21</f>
        <v/>
      </c>
      <c r="H14" s="16">
        <f>N14/1.21</f>
        <v/>
      </c>
      <c r="I14" s="16">
        <f>F14*1.105</f>
        <v/>
      </c>
      <c r="J14" s="16">
        <f>G14*1.105</f>
        <v/>
      </c>
      <c r="K14" s="16">
        <f>H14*1.105</f>
        <v/>
      </c>
      <c r="L14" s="16" t="n">
        <v>92738.05</v>
      </c>
      <c r="M14" s="16" t="n">
        <v>81074.78999999999</v>
      </c>
      <c r="N14" s="16" t="n">
        <v>85543.06</v>
      </c>
    </row>
    <row r="15">
      <c r="A15" s="3" t="n">
        <v>217</v>
      </c>
      <c r="B15" s="3" t="inlineStr">
        <is>
          <t>CONTRAVIDRIO 29MM</t>
        </is>
      </c>
      <c r="C15" s="3" t="n">
        <v>6030</v>
      </c>
      <c r="D15" s="3" t="n">
        <v>0.292</v>
      </c>
      <c r="E15" s="22">
        <f>D15*C15/1000</f>
        <v/>
      </c>
      <c r="F15" s="16">
        <f>L15/1.21</f>
        <v/>
      </c>
      <c r="G15" s="16">
        <f>M15/1.21</f>
        <v/>
      </c>
      <c r="H15" s="16">
        <f>N15/1.21</f>
        <v/>
      </c>
      <c r="I15" s="16">
        <f>F15*1.105</f>
        <v/>
      </c>
      <c r="J15" s="16">
        <f>G15*1.105</f>
        <v/>
      </c>
      <c r="K15" s="16">
        <f>H15*1.105</f>
        <v/>
      </c>
      <c r="L15" s="16" t="n">
        <v>33961.65</v>
      </c>
      <c r="M15" s="16" t="n">
        <v>25417.28</v>
      </c>
      <c r="N15" s="16" t="n">
        <v>30252.72</v>
      </c>
    </row>
    <row r="16">
      <c r="A16" s="3" t="n">
        <v>218</v>
      </c>
      <c r="B16" s="3" t="inlineStr">
        <is>
          <t>TRAVESAÑO HOJA PUERTA DE REBATIR</t>
        </is>
      </c>
      <c r="C16" s="3" t="n">
        <v>6030</v>
      </c>
      <c r="D16" s="3" t="n">
        <v>1.085</v>
      </c>
      <c r="E16" s="22">
        <f>D16*C16/1000</f>
        <v/>
      </c>
      <c r="F16" s="16">
        <f>L16/1.21</f>
        <v/>
      </c>
      <c r="G16" s="16">
        <f>M16/1.21</f>
        <v/>
      </c>
      <c r="H16" s="16">
        <f>N16/1.21</f>
        <v/>
      </c>
      <c r="I16" s="16">
        <f>F16*1.105</f>
        <v/>
      </c>
      <c r="J16" s="16">
        <f>G16*1.105</f>
        <v/>
      </c>
      <c r="K16" s="16">
        <f>H16*1.105</f>
        <v/>
      </c>
      <c r="L16" s="16" t="n">
        <v>136015.8</v>
      </c>
      <c r="M16" s="16" t="n">
        <v>108135.04</v>
      </c>
      <c r="N16" s="16" t="n">
        <v>128706.88</v>
      </c>
    </row>
    <row r="17">
      <c r="A17" s="3" t="n">
        <v>219</v>
      </c>
      <c r="B17" s="3" t="inlineStr">
        <is>
          <t>ZOCALO HOJA PUERTA REBATIR</t>
        </is>
      </c>
      <c r="C17" s="3" t="n">
        <v>6030</v>
      </c>
      <c r="D17" s="3" t="n">
        <v>1.647</v>
      </c>
      <c r="E17" s="22">
        <f>D17*C17/1000</f>
        <v/>
      </c>
      <c r="F17" s="16">
        <f>L17/1.21</f>
        <v/>
      </c>
      <c r="G17" s="16">
        <f>M17/1.21</f>
        <v/>
      </c>
      <c r="H17" s="16">
        <f>N17/1.21</f>
        <v/>
      </c>
      <c r="I17" s="16">
        <f>F17*1.105</f>
        <v/>
      </c>
      <c r="J17" s="16">
        <f>G17*1.105</f>
        <v/>
      </c>
      <c r="K17" s="16">
        <f>H17*1.105</f>
        <v/>
      </c>
      <c r="L17" s="16" t="n">
        <v>206373.08</v>
      </c>
      <c r="M17" s="16" t="n">
        <v>182398.82</v>
      </c>
      <c r="N17" s="16" t="n">
        <v>183724.23</v>
      </c>
    </row>
    <row r="18">
      <c r="A18" s="3" t="n">
        <v>221</v>
      </c>
      <c r="B18" s="3" t="inlineStr">
        <is>
          <t>TRAVESAÑO ANGOSTO PAÑO FIJO</t>
        </is>
      </c>
      <c r="C18" s="3" t="n">
        <v>6030</v>
      </c>
      <c r="D18" s="3" t="n">
        <v>0.767</v>
      </c>
      <c r="E18" s="22">
        <f>D18*C18/1000</f>
        <v/>
      </c>
      <c r="F18" s="16">
        <f>L18/1.21</f>
        <v/>
      </c>
      <c r="G18" s="16">
        <f>M18/1.21</f>
        <v/>
      </c>
      <c r="H18" s="16">
        <f>N18/1.21</f>
        <v/>
      </c>
      <c r="I18" s="16">
        <f>F18*1.105</f>
        <v/>
      </c>
      <c r="J18" s="16">
        <f>G18*1.105</f>
        <v/>
      </c>
      <c r="K18" s="16">
        <f>H18*1.105</f>
        <v/>
      </c>
      <c r="L18" s="16" t="n">
        <v>92476.59</v>
      </c>
      <c r="M18" s="16" t="n">
        <v>82170.31</v>
      </c>
      <c r="N18" s="16" t="n">
        <v>81032.03999999999</v>
      </c>
    </row>
    <row r="19">
      <c r="A19" s="3" t="n">
        <v>224</v>
      </c>
      <c r="B19" s="3" t="inlineStr">
        <is>
          <t>ENCUENTRO CENTRAL DE ABRIR</t>
        </is>
      </c>
      <c r="C19" s="3" t="n">
        <v>6030</v>
      </c>
      <c r="D19" s="3" t="n">
        <v>0.78</v>
      </c>
      <c r="E19" s="22">
        <f>D19*C19/1000</f>
        <v/>
      </c>
      <c r="F19" s="16">
        <f>L19/1.21</f>
        <v/>
      </c>
      <c r="G19" s="16">
        <f>M19/1.21</f>
        <v/>
      </c>
      <c r="H19" s="16">
        <f>N19/1.21</f>
        <v/>
      </c>
      <c r="I19" s="16">
        <f>F19*1.105</f>
        <v/>
      </c>
      <c r="J19" s="16">
        <f>G19*1.105</f>
        <v/>
      </c>
      <c r="K19" s="16">
        <f>H19*1.105</f>
        <v/>
      </c>
      <c r="L19" s="16" t="n">
        <v>97684.08</v>
      </c>
      <c r="M19" s="16" t="n">
        <v>84994.39999999999</v>
      </c>
      <c r="N19" s="16" t="n">
        <v>91230.75</v>
      </c>
    </row>
    <row r="20">
      <c r="A20" s="3" t="n">
        <v>226</v>
      </c>
      <c r="B20" s="3" t="inlineStr">
        <is>
          <t>CONTRAVIDRIO</t>
        </is>
      </c>
      <c r="C20" s="3" t="n">
        <v>6030</v>
      </c>
      <c r="D20" s="3" t="n">
        <v>0.211</v>
      </c>
      <c r="E20" s="22">
        <f>D20*C20/1000</f>
        <v/>
      </c>
      <c r="F20" s="16">
        <f>L20/1.21</f>
        <v/>
      </c>
      <c r="G20" s="16">
        <f>M20/1.21</f>
        <v/>
      </c>
      <c r="H20" s="16">
        <f>N20/1.21</f>
        <v/>
      </c>
      <c r="I20" s="16">
        <f>F20*1.105</f>
        <v/>
      </c>
      <c r="J20" s="16">
        <f>G20*1.105</f>
        <v/>
      </c>
      <c r="K20" s="16">
        <f>H20*1.105</f>
        <v/>
      </c>
      <c r="L20" s="16" t="n">
        <v>23246.34</v>
      </c>
      <c r="M20" s="16" t="n">
        <v>20595.4</v>
      </c>
      <c r="N20" s="16" t="n">
        <v>21335.34</v>
      </c>
    </row>
    <row r="21">
      <c r="A21" s="3" t="n">
        <v>228</v>
      </c>
      <c r="B21" s="3" t="inlineStr">
        <is>
          <t>TOPE MOSQUITERO CORREDIZA</t>
        </is>
      </c>
      <c r="C21" s="3" t="n">
        <v>6030</v>
      </c>
      <c r="D21" s="3" t="n">
        <v>0.186</v>
      </c>
      <c r="E21" s="22">
        <f>D21*C21/1000</f>
        <v/>
      </c>
      <c r="F21" s="16">
        <f>L21/1.21</f>
        <v/>
      </c>
      <c r="G21" s="16">
        <f>M21/1.21</f>
        <v/>
      </c>
      <c r="H21" s="16">
        <f>N21/1.21</f>
        <v/>
      </c>
      <c r="I21" s="16">
        <f>F21*1.105</f>
        <v/>
      </c>
      <c r="J21" s="16">
        <f>G21*1.105</f>
        <v/>
      </c>
      <c r="K21" s="16">
        <f>H21*1.105</f>
        <v/>
      </c>
      <c r="L21" s="16" t="n">
        <v>23246.34</v>
      </c>
      <c r="M21" s="16" t="n">
        <v>20595.4</v>
      </c>
      <c r="N21" s="16" t="n">
        <v>21335.34</v>
      </c>
    </row>
    <row r="22">
      <c r="A22" s="3" t="n">
        <v>229</v>
      </c>
      <c r="B22" s="3" t="inlineStr">
        <is>
          <t>PAÑO FIJO CURVO</t>
        </is>
      </c>
      <c r="C22" s="3" t="n">
        <v>6150</v>
      </c>
      <c r="D22" s="3" t="n">
        <v>0.764</v>
      </c>
      <c r="E22" s="22">
        <f>D22*C22/1000</f>
        <v/>
      </c>
      <c r="F22" s="16">
        <f>L22/1.21</f>
        <v/>
      </c>
      <c r="G22" s="16">
        <f>M22/1.21</f>
        <v/>
      </c>
      <c r="H22" s="16">
        <f>N22/1.21</f>
        <v/>
      </c>
      <c r="I22" s="16">
        <f>F22*1.105</f>
        <v/>
      </c>
      <c r="J22" s="16">
        <f>G22*1.105</f>
        <v/>
      </c>
      <c r="K22" s="16">
        <f>H22*1.105</f>
        <v/>
      </c>
      <c r="L22" s="16" t="n">
        <v>97684.08</v>
      </c>
      <c r="M22" s="16" t="n">
        <v>71870.3</v>
      </c>
      <c r="N22" s="16" t="n">
        <v>85758.63</v>
      </c>
    </row>
    <row r="23">
      <c r="A23" s="3" t="n">
        <v>230</v>
      </c>
      <c r="B23" s="3" t="inlineStr">
        <is>
          <t>CONTRAVIDRIO CURVO 29MM</t>
        </is>
      </c>
      <c r="C23" s="3" t="n">
        <v>6030</v>
      </c>
      <c r="D23" s="3" t="n">
        <v>0.213</v>
      </c>
      <c r="E23" s="22">
        <f>D23*C23/1000</f>
        <v/>
      </c>
      <c r="F23" s="16">
        <f>L23/1.21</f>
        <v/>
      </c>
      <c r="G23" s="16">
        <f>M23/1.21</f>
        <v/>
      </c>
      <c r="H23" s="16">
        <f>N23/1.21</f>
        <v/>
      </c>
      <c r="I23" s="16">
        <f>F23*1.105</f>
        <v/>
      </c>
      <c r="J23" s="16">
        <f>G23*1.105</f>
        <v/>
      </c>
      <c r="K23" s="16">
        <f>H23*1.105</f>
        <v/>
      </c>
      <c r="L23" s="16" t="n">
        <v>26708.56</v>
      </c>
      <c r="M23" s="16" t="n">
        <v>22937.15</v>
      </c>
      <c r="N23" s="16" t="n">
        <v>24418.46</v>
      </c>
    </row>
    <row r="24">
      <c r="A24" s="3" t="n">
        <v>231</v>
      </c>
      <c r="B24" s="3" t="inlineStr">
        <is>
          <t>CONTRAVIDRIO CURVO 15MM</t>
        </is>
      </c>
      <c r="C24" s="3" t="n">
        <v>6030</v>
      </c>
      <c r="D24" s="3" t="n">
        <v>0.159</v>
      </c>
      <c r="E24" s="22">
        <f>D24*C24/1000</f>
        <v/>
      </c>
      <c r="F24" s="16">
        <f>L24/1.21</f>
        <v/>
      </c>
      <c r="G24" s="16">
        <f>M24/1.21</f>
        <v/>
      </c>
      <c r="H24" s="16">
        <f>N24/1.21</f>
        <v/>
      </c>
      <c r="I24" s="16">
        <f>F24*1.105</f>
        <v/>
      </c>
      <c r="J24" s="16">
        <f>G24*1.105</f>
        <v/>
      </c>
      <c r="K24" s="16">
        <f>H24*1.105</f>
        <v/>
      </c>
      <c r="L24" s="16" t="n">
        <v>20031.42</v>
      </c>
      <c r="M24" s="16" t="n">
        <v>17692.07</v>
      </c>
      <c r="N24" s="16" t="n">
        <v>17593.81</v>
      </c>
    </row>
    <row r="25">
      <c r="A25" s="3" t="n">
        <v>232</v>
      </c>
      <c r="B25" s="3" t="inlineStr">
        <is>
          <t>CONTRAVIDRIO CURVO 22MM</t>
        </is>
      </c>
      <c r="C25" s="3" t="n">
        <v>6030</v>
      </c>
      <c r="D25" s="3" t="n">
        <v>0.181</v>
      </c>
      <c r="E25" s="22">
        <f>D25*C25/1000</f>
        <v/>
      </c>
      <c r="F25" s="16">
        <f>L25/1.21</f>
        <v/>
      </c>
      <c r="G25" s="16">
        <f>M25/1.21</f>
        <v/>
      </c>
      <c r="H25" s="16">
        <f>N25/1.21</f>
        <v/>
      </c>
      <c r="I25" s="16">
        <f>F25*1.105</f>
        <v/>
      </c>
      <c r="J25" s="16">
        <f>G25*1.105</f>
        <v/>
      </c>
      <c r="K25" s="16">
        <f>H25*1.105</f>
        <v/>
      </c>
      <c r="L25" s="16" t="n">
        <v>22751.73</v>
      </c>
      <c r="M25" s="16" t="n">
        <v>154358.69</v>
      </c>
      <c r="N25" s="16" t="n">
        <v>20718.7</v>
      </c>
    </row>
    <row r="26">
      <c r="A26" s="3" t="n">
        <v>233</v>
      </c>
      <c r="B26" s="3" t="inlineStr">
        <is>
          <t>CONTRAVIDRIO CURVO 8MM</t>
        </is>
      </c>
      <c r="C26" s="3" t="n">
        <v>6030</v>
      </c>
      <c r="D26" s="3" t="n">
        <v>0.135</v>
      </c>
      <c r="E26" s="22">
        <f>D26*C26/1000</f>
        <v/>
      </c>
      <c r="F26" s="16">
        <f>L26/1.21</f>
        <v/>
      </c>
      <c r="G26" s="16">
        <f>M26/1.21</f>
        <v/>
      </c>
      <c r="H26" s="16">
        <f>N26/1.21</f>
        <v/>
      </c>
      <c r="I26" s="16">
        <f>F26*1.105</f>
        <v/>
      </c>
      <c r="J26" s="16">
        <f>G26*1.105</f>
        <v/>
      </c>
      <c r="K26" s="16">
        <f>H26*1.105</f>
        <v/>
      </c>
      <c r="L26" s="16" t="n">
        <v>16940.15</v>
      </c>
      <c r="M26" s="16" t="n">
        <v>15366.4</v>
      </c>
      <c r="N26" s="16" t="n">
        <v>16994.06</v>
      </c>
    </row>
    <row r="27">
      <c r="A27" s="3" t="n">
        <v>235</v>
      </c>
      <c r="B27" s="3" t="inlineStr">
        <is>
          <t>HOJA CURVA VENTANA DE ABRIR DOBLE CONTACTO</t>
        </is>
      </c>
      <c r="C27" s="3" t="n">
        <v>6030</v>
      </c>
      <c r="D27" s="3" t="n">
        <v>0.902</v>
      </c>
      <c r="E27" s="22">
        <f>D27*C27/1000</f>
        <v/>
      </c>
      <c r="F27" s="16">
        <f>L27/1.21</f>
        <v/>
      </c>
      <c r="G27" s="16">
        <f>M27/1.21</f>
        <v/>
      </c>
      <c r="H27" s="16">
        <f>N27/1.21</f>
        <v/>
      </c>
      <c r="I27" s="16">
        <f>F27*1.105</f>
        <v/>
      </c>
      <c r="J27" s="16">
        <f>G27*1.105</f>
        <v/>
      </c>
      <c r="K27" s="16">
        <f>H27*1.105</f>
        <v/>
      </c>
      <c r="L27" s="16" t="n">
        <v>113016.77</v>
      </c>
      <c r="M27" s="16" t="n">
        <v>98918.16</v>
      </c>
      <c r="N27" s="16" t="n">
        <v>104369.84</v>
      </c>
    </row>
    <row r="28">
      <c r="A28" s="3" t="n">
        <v>236</v>
      </c>
      <c r="B28" s="3" t="inlineStr">
        <is>
          <t>HOJA VENTILUZ CURVA</t>
        </is>
      </c>
      <c r="C28" s="3" t="n">
        <v>6150</v>
      </c>
      <c r="D28" s="3" t="n">
        <v>0.902</v>
      </c>
      <c r="E28" s="22">
        <f>D28*C28/1000</f>
        <v/>
      </c>
      <c r="F28" s="16">
        <f>L28/1.21</f>
        <v/>
      </c>
      <c r="G28" s="16">
        <f>M28/1.21</f>
        <v/>
      </c>
      <c r="H28" s="16">
        <f>N28/1.21</f>
        <v/>
      </c>
      <c r="I28" s="16">
        <f>F28*1.105</f>
        <v/>
      </c>
      <c r="J28" s="16">
        <f>G28*1.105</f>
        <v/>
      </c>
      <c r="K28" s="16">
        <f>H28*1.105</f>
        <v/>
      </c>
      <c r="L28" s="16" t="n">
        <v>115242.48</v>
      </c>
      <c r="M28" s="16" t="n">
        <v>97032.96000000001</v>
      </c>
      <c r="N28" s="16" t="n">
        <v>100986.95</v>
      </c>
    </row>
    <row r="29">
      <c r="A29" s="3" t="n">
        <v>237</v>
      </c>
      <c r="B29" s="3" t="inlineStr">
        <is>
          <t xml:space="preserve">CONTRAVIDRIO CURVO </t>
        </is>
      </c>
      <c r="C29" s="3" t="n">
        <v>6030</v>
      </c>
      <c r="D29" s="3" t="n">
        <v>0.181</v>
      </c>
      <c r="E29" s="22">
        <f>D29*C29/1000</f>
        <v/>
      </c>
      <c r="F29" s="16">
        <f>L29/1.21</f>
        <v/>
      </c>
      <c r="G29" s="16">
        <f>M29/1.21</f>
        <v/>
      </c>
      <c r="H29" s="16">
        <f>N29/1.21</f>
        <v/>
      </c>
      <c r="I29" s="16">
        <f>F29*1.105</f>
        <v/>
      </c>
      <c r="J29" s="16">
        <f>G29*1.105</f>
        <v/>
      </c>
      <c r="K29" s="16">
        <f>H29*1.105</f>
        <v/>
      </c>
      <c r="L29" s="16" t="n">
        <v>22751.73</v>
      </c>
      <c r="M29" s="16" t="n">
        <v>20488.68</v>
      </c>
      <c r="N29" s="16" t="n">
        <v>20718.7</v>
      </c>
    </row>
    <row r="30">
      <c r="A30" s="3" t="n">
        <v>239</v>
      </c>
      <c r="B30" s="3" t="inlineStr">
        <is>
          <t>TRAVESAÑO CORREDIZA VIDIRO SIMPLE</t>
        </is>
      </c>
      <c r="C30" s="3" t="n">
        <v>6030</v>
      </c>
      <c r="D30" s="3" t="n">
        <v>0.724</v>
      </c>
      <c r="E30" s="22">
        <f>D30*C30/1000</f>
        <v/>
      </c>
      <c r="F30" s="16">
        <f>L30/1.21</f>
        <v/>
      </c>
      <c r="G30" s="16">
        <f>M30/1.21</f>
        <v/>
      </c>
      <c r="H30" s="16">
        <f>N30/1.21</f>
        <v/>
      </c>
      <c r="I30" s="16">
        <f>F30*1.105</f>
        <v/>
      </c>
      <c r="J30" s="16">
        <f>G30*1.105</f>
        <v/>
      </c>
      <c r="K30" s="16">
        <f>H30*1.105</f>
        <v/>
      </c>
      <c r="L30" s="16" t="n">
        <v>87358.83</v>
      </c>
      <c r="M30" s="16" t="n">
        <v>77240.2</v>
      </c>
      <c r="N30" s="16" t="n">
        <v>80869.88</v>
      </c>
    </row>
    <row r="31">
      <c r="A31" s="3" t="n">
        <v>240</v>
      </c>
      <c r="B31" s="3" t="inlineStr">
        <is>
          <t>NEGRO (A) "</t>
        </is>
      </c>
      <c r="C31" s="3" t="n">
        <v>6150</v>
      </c>
      <c r="D31" s="3" t="n">
        <v>1.652</v>
      </c>
      <c r="E31" s="22">
        <f>D31*C31/1000</f>
        <v/>
      </c>
      <c r="F31" s="16">
        <f>L31/1.21</f>
        <v/>
      </c>
      <c r="G31" s="16">
        <f>M31/1.21</f>
        <v/>
      </c>
      <c r="H31" s="16">
        <f>N31/1.21</f>
        <v/>
      </c>
      <c r="I31" s="16">
        <f>F31*1.105</f>
        <v/>
      </c>
      <c r="J31" s="16">
        <f>G31*1.105</f>
        <v/>
      </c>
      <c r="K31" s="16">
        <f>H31*1.105</f>
        <v/>
      </c>
      <c r="L31" s="16" t="n">
        <v>211071.81</v>
      </c>
      <c r="M31" s="16" t="n">
        <v>184843.58</v>
      </c>
      <c r="N31" s="16" t="n">
        <v>195030.86</v>
      </c>
    </row>
    <row r="32">
      <c r="A32" s="3" t="n">
        <v>241</v>
      </c>
      <c r="B32" s="3" t="inlineStr">
        <is>
          <t>JAMBA DE MARCO 3 GUIAS CORREDIZA</t>
        </is>
      </c>
      <c r="C32" s="3" t="n">
        <v>6150</v>
      </c>
      <c r="D32" s="3" t="n">
        <v>0.969</v>
      </c>
      <c r="E32" s="22">
        <f>D32*C32/1000</f>
        <v/>
      </c>
      <c r="F32" s="16">
        <f>L32/1.21</f>
        <v/>
      </c>
      <c r="G32" s="16">
        <f>M32/1.21</f>
        <v/>
      </c>
      <c r="H32" s="16">
        <f>N32/1.21</f>
        <v/>
      </c>
      <c r="I32" s="16">
        <f>F32*1.105</f>
        <v/>
      </c>
      <c r="J32" s="16">
        <f>G32*1.105</f>
        <v/>
      </c>
      <c r="K32" s="16">
        <f>H32*1.105</f>
        <v/>
      </c>
      <c r="L32" s="16" t="n">
        <v>123898.03</v>
      </c>
      <c r="M32" s="16" t="n">
        <v>110979.88</v>
      </c>
      <c r="N32" s="16" t="n">
        <v>107610.13</v>
      </c>
    </row>
    <row r="33">
      <c r="A33" s="3" t="n">
        <v>246</v>
      </c>
      <c r="B33" s="3" t="inlineStr">
        <is>
          <t>ENCUENTRO CENTRAL CORREDIZA</t>
        </is>
      </c>
      <c r="C33" s="3" t="n">
        <v>6030</v>
      </c>
      <c r="D33" s="3" t="n">
        <v>0.286</v>
      </c>
      <c r="E33" s="22">
        <f>D33*C33/1000</f>
        <v/>
      </c>
      <c r="F33" s="16">
        <f>L33/1.21</f>
        <v/>
      </c>
      <c r="G33" s="16">
        <f>M33/1.21</f>
        <v/>
      </c>
      <c r="H33" s="16">
        <f>N33/1.21</f>
        <v/>
      </c>
      <c r="I33" s="16">
        <f>F33*1.105</f>
        <v/>
      </c>
      <c r="J33" s="16">
        <f>G33*1.105</f>
        <v/>
      </c>
      <c r="K33" s="16">
        <f>H33*1.105</f>
        <v/>
      </c>
      <c r="L33" s="16" t="n">
        <v>36600.62</v>
      </c>
      <c r="M33" s="16" t="n">
        <v>31522.21</v>
      </c>
      <c r="N33" s="16" t="n">
        <v>33421.32</v>
      </c>
    </row>
    <row r="34">
      <c r="A34" s="3" t="n">
        <v>248</v>
      </c>
      <c r="B34" s="3" t="inlineStr">
        <is>
          <t>PARANTE LATERAL DE HOJA DVH</t>
        </is>
      </c>
      <c r="C34" s="3" t="n">
        <v>6150</v>
      </c>
      <c r="D34" s="3" t="n">
        <v>0.608</v>
      </c>
      <c r="E34" s="22">
        <f>D34*C34/1000</f>
        <v/>
      </c>
      <c r="F34" s="16">
        <f>L34/1.21</f>
        <v/>
      </c>
      <c r="G34" s="16">
        <f>M34/1.21</f>
        <v/>
      </c>
      <c r="H34" s="16">
        <f>N34/1.21</f>
        <v/>
      </c>
      <c r="I34" s="16">
        <f>F34*1.105</f>
        <v/>
      </c>
      <c r="J34" s="16">
        <f>G34*1.105</f>
        <v/>
      </c>
      <c r="K34" s="16">
        <f>H34*1.105</f>
        <v/>
      </c>
      <c r="L34" s="16" t="n">
        <v>72464.72</v>
      </c>
      <c r="M34" s="16" t="n">
        <v>68692.45</v>
      </c>
      <c r="N34" s="16" t="n">
        <v>71222.39999999999</v>
      </c>
    </row>
    <row r="35">
      <c r="A35" s="3" t="n">
        <v>249</v>
      </c>
      <c r="B35" s="3" t="inlineStr">
        <is>
          <t>ZOCALO Y CABEZAL HOJA DVH</t>
        </is>
      </c>
      <c r="C35" s="3" t="n">
        <v>6030</v>
      </c>
      <c r="D35" s="3" t="n">
        <v>0.632</v>
      </c>
      <c r="E35" s="22">
        <f>D35*C35/1000</f>
        <v/>
      </c>
      <c r="F35" s="16">
        <f>L35/1.21</f>
        <v/>
      </c>
      <c r="G35" s="16">
        <f>M35/1.21</f>
        <v/>
      </c>
      <c r="H35" s="16">
        <f>N35/1.21</f>
        <v/>
      </c>
      <c r="I35" s="16">
        <f>F35*1.105</f>
        <v/>
      </c>
      <c r="J35" s="16">
        <f>G35*1.105</f>
        <v/>
      </c>
      <c r="K35" s="16">
        <f>H35*1.105</f>
        <v/>
      </c>
      <c r="L35" s="16" t="n">
        <v>79136.47</v>
      </c>
      <c r="M35" s="16" t="n">
        <v>69925.7</v>
      </c>
      <c r="N35" s="16" t="n">
        <v>72582.53999999999</v>
      </c>
    </row>
    <row r="36">
      <c r="A36" s="3" t="n">
        <v>250</v>
      </c>
      <c r="B36" s="3" t="inlineStr">
        <is>
          <t>PARANTE CENTRAL HOJA DVH</t>
        </is>
      </c>
      <c r="C36" s="3" t="n">
        <v>6150</v>
      </c>
      <c r="D36" s="3" t="n">
        <v>0.608</v>
      </c>
      <c r="E36" s="22">
        <f>D36*C36/1000</f>
        <v/>
      </c>
      <c r="F36" s="16">
        <f>L36/1.21</f>
        <v/>
      </c>
      <c r="G36" s="16">
        <f>M36/1.21</f>
        <v/>
      </c>
      <c r="H36" s="16">
        <f>N36/1.21</f>
        <v/>
      </c>
      <c r="I36" s="16">
        <f>F36*1.105</f>
        <v/>
      </c>
      <c r="J36" s="16">
        <f>G36*1.105</f>
        <v/>
      </c>
      <c r="K36" s="16">
        <f>H36*1.105</f>
        <v/>
      </c>
      <c r="L36" s="16" t="n">
        <v>72459.33</v>
      </c>
      <c r="M36" s="16" t="n">
        <v>64006.07</v>
      </c>
      <c r="N36" s="16" t="n">
        <v>81076.07000000001</v>
      </c>
    </row>
    <row r="37">
      <c r="A37" s="3" t="n">
        <v>252</v>
      </c>
      <c r="B37" s="3" t="inlineStr">
        <is>
          <t>ZOCALO ALTO DE HOJA PARA DVH</t>
        </is>
      </c>
      <c r="C37" s="3" t="n">
        <v>6030</v>
      </c>
      <c r="D37" s="3" t="n">
        <v>1.188</v>
      </c>
      <c r="E37" s="22">
        <f>D37*C37/1000</f>
        <v/>
      </c>
      <c r="F37" s="16">
        <f>L37/1.21</f>
        <v/>
      </c>
      <c r="G37" s="16">
        <f>M37/1.21</f>
        <v/>
      </c>
      <c r="H37" s="16">
        <f>N37/1.21</f>
        <v/>
      </c>
      <c r="I37" s="16">
        <f>F37*1.105</f>
        <v/>
      </c>
      <c r="J37" s="16">
        <f>G37*1.105</f>
        <v/>
      </c>
      <c r="K37" s="16">
        <f>H37*1.105</f>
        <v/>
      </c>
      <c r="L37" s="16" t="n">
        <v>148875.48</v>
      </c>
      <c r="M37" s="16" t="n">
        <v>125491.19</v>
      </c>
      <c r="N37" s="16" t="n">
        <v>136028.34</v>
      </c>
    </row>
    <row r="38">
      <c r="A38" s="3" t="n">
        <v>255</v>
      </c>
      <c r="B38" s="3" t="inlineStr">
        <is>
          <t>MOSQUITERO MODENA NEGRO</t>
        </is>
      </c>
      <c r="C38" s="3" t="n">
        <v>6030</v>
      </c>
      <c r="D38" s="3" t="n">
        <v>0.389</v>
      </c>
      <c r="E38" s="22">
        <f>D38*C38/1000</f>
        <v/>
      </c>
      <c r="F38" s="16">
        <f>L38/1.21</f>
        <v/>
      </c>
      <c r="G38" s="16">
        <f>M38/1.21</f>
        <v/>
      </c>
      <c r="H38" s="16">
        <f>N38/1.21</f>
        <v/>
      </c>
      <c r="I38" s="16">
        <f>F38*1.105</f>
        <v/>
      </c>
      <c r="J38" s="16">
        <f>G38*1.105</f>
        <v/>
      </c>
      <c r="K38" s="16">
        <f>H38*1.105</f>
        <v/>
      </c>
      <c r="L38" s="16" t="n">
        <v>48842.04</v>
      </c>
      <c r="M38" s="16" t="n">
        <v>43164.03</v>
      </c>
      <c r="N38" s="16" t="n">
        <v>44643.9</v>
      </c>
    </row>
    <row r="39">
      <c r="A39" s="3" t="n">
        <v>257</v>
      </c>
      <c r="B39" s="3" t="inlineStr">
        <is>
          <t>CONTRAVIDRIO CURVO</t>
        </is>
      </c>
      <c r="C39" s="3" t="n">
        <v>6030</v>
      </c>
      <c r="D39" s="3" t="n">
        <v>0.235</v>
      </c>
      <c r="E39" s="22">
        <f>D39*C39/1000</f>
        <v/>
      </c>
      <c r="F39" s="16">
        <f>L39/1.21</f>
        <v/>
      </c>
      <c r="G39" s="16">
        <f>M39/1.21</f>
        <v/>
      </c>
      <c r="H39" s="16">
        <f>N39/1.21</f>
        <v/>
      </c>
      <c r="I39" s="16">
        <f>F39*1.105</f>
        <v/>
      </c>
      <c r="J39" s="16">
        <f>G39*1.105</f>
        <v/>
      </c>
      <c r="K39" s="16">
        <f>H39*1.105</f>
        <v/>
      </c>
      <c r="L39" s="16" t="n">
        <v>26913.4</v>
      </c>
      <c r="M39" s="16" t="n">
        <v>23737.45</v>
      </c>
      <c r="N39" s="16" t="n">
        <v>24986.79</v>
      </c>
    </row>
    <row r="40">
      <c r="A40" s="3" t="n">
        <v>259</v>
      </c>
      <c r="B40" s="3" t="inlineStr">
        <is>
          <t>MARCO VENTANA PROYECTANTE</t>
        </is>
      </c>
      <c r="C40" s="3" t="n">
        <v>6150</v>
      </c>
      <c r="D40" s="3" t="n">
        <v>0.748</v>
      </c>
      <c r="E40" s="22">
        <f>D40*C40/1000</f>
        <v/>
      </c>
      <c r="F40" s="16">
        <f>L40/1.21</f>
        <v/>
      </c>
      <c r="G40" s="16">
        <f>M40/1.21</f>
        <v/>
      </c>
      <c r="H40" s="16">
        <f>N40/1.21</f>
        <v/>
      </c>
      <c r="I40" s="16">
        <f>F40*1.105</f>
        <v/>
      </c>
      <c r="J40" s="16">
        <f>G40*1.105</f>
        <v/>
      </c>
      <c r="K40" s="16">
        <f>H40*1.105</f>
        <v/>
      </c>
      <c r="L40" s="16" t="n">
        <v>95582.03999999999</v>
      </c>
      <c r="M40" s="16" t="n">
        <v>80655.31</v>
      </c>
      <c r="N40" s="16" t="n">
        <v>83264.34</v>
      </c>
    </row>
    <row r="41">
      <c r="A41" s="3" t="n">
        <v>260</v>
      </c>
      <c r="B41" s="3" t="inlineStr">
        <is>
          <t>HOJA DE VENTANA PROYECTANTE CURVA</t>
        </is>
      </c>
      <c r="C41" s="3" t="n">
        <v>6030</v>
      </c>
      <c r="D41" s="3" t="n">
        <v>1.099</v>
      </c>
      <c r="E41" s="22">
        <f>D41*C41/1000</f>
        <v/>
      </c>
      <c r="F41" s="16">
        <f>L41/1.21</f>
        <v/>
      </c>
      <c r="G41" s="16">
        <f>M41/1.21</f>
        <v/>
      </c>
      <c r="H41" s="16">
        <f>N41/1.21</f>
        <v/>
      </c>
      <c r="I41" s="16">
        <f>F41*1.105</f>
        <v/>
      </c>
      <c r="J41" s="16">
        <f>G41*1.105</f>
        <v/>
      </c>
      <c r="K41" s="16">
        <f>H41*1.105</f>
        <v/>
      </c>
      <c r="L41" s="16" t="n">
        <v>137746.89</v>
      </c>
      <c r="M41" s="16" t="n">
        <v>122931.62</v>
      </c>
      <c r="N41" s="16" t="n">
        <v>125852.42</v>
      </c>
    </row>
    <row r="42">
      <c r="A42" s="3" t="n">
        <v>261</v>
      </c>
      <c r="B42" s="3" t="inlineStr">
        <is>
          <t>COLUMNA DE ACOPLE REFORZADA</t>
        </is>
      </c>
      <c r="C42" s="3" t="n">
        <v>6150</v>
      </c>
      <c r="D42" s="3" t="n">
        <v>1.274</v>
      </c>
      <c r="E42" s="22">
        <f>D42*C42/1000</f>
        <v/>
      </c>
      <c r="F42" s="16">
        <f>L42/1.21</f>
        <v/>
      </c>
      <c r="G42" s="16">
        <f>M42/1.21</f>
        <v/>
      </c>
      <c r="H42" s="16">
        <f>N42/1.21</f>
        <v/>
      </c>
      <c r="I42" s="16">
        <f>F42*1.105</f>
        <v/>
      </c>
      <c r="J42" s="16">
        <f>G42*1.105</f>
        <v/>
      </c>
      <c r="K42" s="3">
        <f>H42*1.105</f>
        <v/>
      </c>
      <c r="L42" s="16" t="n">
        <v>149219.25</v>
      </c>
      <c r="M42" s="16" t="n"/>
      <c r="N42" s="16" t="n">
        <v>143480.05</v>
      </c>
    </row>
    <row r="43">
      <c r="A43" s="3" t="n">
        <v>262</v>
      </c>
      <c r="B43" s="3" t="inlineStr">
        <is>
          <t>COLUMNA DE ACOPLE A 90</t>
        </is>
      </c>
      <c r="C43" s="3" t="n">
        <v>6150</v>
      </c>
      <c r="D43" s="3" t="n">
        <v>0.68</v>
      </c>
      <c r="E43" s="22">
        <f>D43*C43/1000</f>
        <v/>
      </c>
      <c r="F43" s="16">
        <f>L43/1.21</f>
        <v/>
      </c>
      <c r="G43" s="16">
        <f>M43/1.21</f>
        <v/>
      </c>
      <c r="H43" s="16">
        <f>N43/1.21</f>
        <v/>
      </c>
      <c r="I43" s="16">
        <f>F43*1.105</f>
        <v/>
      </c>
      <c r="J43" s="16">
        <f>G43*1.105</f>
        <v/>
      </c>
      <c r="K43" s="16">
        <f>H43*1.105</f>
        <v/>
      </c>
      <c r="L43" s="16" t="n">
        <v>86926.47</v>
      </c>
      <c r="M43" s="16" t="n">
        <v>77088.74000000001</v>
      </c>
      <c r="N43" s="16" t="n">
        <v>79246.38</v>
      </c>
    </row>
    <row r="44">
      <c r="A44" s="3" t="n">
        <v>265</v>
      </c>
      <c r="B44" s="3" t="inlineStr">
        <is>
          <t>COLUMNA DE ACOPLE A 135</t>
        </is>
      </c>
      <c r="C44" s="3" t="n">
        <v>6150</v>
      </c>
      <c r="D44" s="3" t="n">
        <v>0.535</v>
      </c>
      <c r="E44" s="22">
        <f>D44*C44/1000</f>
        <v/>
      </c>
      <c r="F44" s="16">
        <f>L44/1.21</f>
        <v/>
      </c>
      <c r="G44" s="16">
        <f>M44/1.21</f>
        <v/>
      </c>
      <c r="H44" s="16">
        <f>N44/1.21</f>
        <v/>
      </c>
      <c r="I44" s="16">
        <f>F44*1.105</f>
        <v/>
      </c>
      <c r="J44" s="16">
        <f>G44*1.105</f>
        <v/>
      </c>
      <c r="K44" s="3">
        <f>H44*1.105</f>
        <v/>
      </c>
      <c r="L44" s="16" t="n">
        <v>68583.08</v>
      </c>
      <c r="M44" s="16" t="n"/>
      <c r="N44" s="16" t="n">
        <v>62348.25</v>
      </c>
    </row>
    <row r="45">
      <c r="A45" s="3" t="n">
        <v>280</v>
      </c>
      <c r="B45" s="3" t="inlineStr">
        <is>
          <t>MARCO A 45</t>
        </is>
      </c>
      <c r="C45" s="3" t="n">
        <v>6150</v>
      </c>
      <c r="D45" s="3" t="n">
        <v>1.193</v>
      </c>
      <c r="E45" s="22">
        <f>D45*C45/1000</f>
        <v/>
      </c>
      <c r="F45" s="16">
        <f>L45/1.21</f>
        <v/>
      </c>
      <c r="G45" s="16">
        <f>M45/1.21</f>
        <v/>
      </c>
      <c r="H45" s="16">
        <f>N45/1.21</f>
        <v/>
      </c>
      <c r="I45" s="16">
        <f>F45*1.105</f>
        <v/>
      </c>
      <c r="J45" s="16">
        <f>G45*1.105</f>
        <v/>
      </c>
      <c r="K45" s="16">
        <f>H45*1.105</f>
        <v/>
      </c>
      <c r="L45" s="16" t="n">
        <v>152461.35</v>
      </c>
      <c r="M45" s="16" t="n">
        <v>136590.6</v>
      </c>
      <c r="N45" s="16" t="n">
        <v>131189.11</v>
      </c>
    </row>
    <row r="46">
      <c r="A46" s="3" t="n">
        <v>281</v>
      </c>
      <c r="B46" s="3" t="inlineStr">
        <is>
          <t>MARCO VENTANA GUILLOTINA</t>
        </is>
      </c>
      <c r="C46" s="3" t="n">
        <v>6030</v>
      </c>
      <c r="D46" s="3" t="n">
        <v>1.058</v>
      </c>
      <c r="E46" s="22">
        <f>D46*C46/1000</f>
        <v/>
      </c>
      <c r="F46" s="16">
        <f>L46/1.21</f>
        <v/>
      </c>
      <c r="G46" s="16">
        <f>M46/1.21</f>
        <v/>
      </c>
      <c r="H46" s="16">
        <f>N46/1.21</f>
        <v/>
      </c>
      <c r="I46" s="16">
        <f>F46*1.105</f>
        <v/>
      </c>
      <c r="J46" s="16">
        <f>G46*1.105</f>
        <v/>
      </c>
      <c r="K46" s="16">
        <f>H46*1.105</f>
        <v/>
      </c>
      <c r="L46" s="16" t="n">
        <v>125035.79</v>
      </c>
      <c r="M46" s="16" t="n">
        <v>121917.41</v>
      </c>
      <c r="N46" s="16" t="n">
        <v>140726.8</v>
      </c>
    </row>
    <row r="47">
      <c r="A47" s="3" t="n">
        <v>282</v>
      </c>
      <c r="B47" s="3" t="inlineStr">
        <is>
          <t>TAPA COMPENSADORA GUILLOTINA</t>
        </is>
      </c>
      <c r="C47" s="3" t="n">
        <v>6030</v>
      </c>
      <c r="D47" s="3" t="n">
        <v>0.14</v>
      </c>
      <c r="E47" s="22">
        <f>D47*C47/1000</f>
        <v/>
      </c>
      <c r="F47" s="16">
        <f>L47/1.21</f>
        <v/>
      </c>
      <c r="G47" s="16">
        <f>M47/1.21</f>
        <v/>
      </c>
      <c r="H47" s="16">
        <f>N47/1.21</f>
        <v/>
      </c>
      <c r="I47" s="16">
        <f>F47*1.105</f>
        <v/>
      </c>
      <c r="J47" s="16">
        <f>G47*1.105</f>
        <v/>
      </c>
      <c r="K47" s="16">
        <f>H47*1.105</f>
        <v/>
      </c>
      <c r="L47" s="16" t="n">
        <v>15254.88</v>
      </c>
      <c r="M47" s="16" t="n">
        <v>14408.16</v>
      </c>
      <c r="N47" s="16" t="n">
        <v>18725.52</v>
      </c>
    </row>
    <row r="48">
      <c r="A48" s="3" t="n">
        <v>283</v>
      </c>
      <c r="B48" s="3" t="inlineStr">
        <is>
          <t>HOJA VENTANA GUILLOTINA</t>
        </is>
      </c>
      <c r="C48" s="3" t="n">
        <v>6030</v>
      </c>
      <c r="D48" s="3" t="n">
        <v>0.537</v>
      </c>
      <c r="E48" s="22">
        <f>D48*C48/1000</f>
        <v/>
      </c>
      <c r="F48" s="16">
        <f>L48/1.21</f>
        <v/>
      </c>
      <c r="G48" s="16">
        <f>M48/1.21</f>
        <v/>
      </c>
      <c r="H48" s="16">
        <f>N48/1.21</f>
        <v/>
      </c>
      <c r="I48" s="16">
        <f>F48*1.105</f>
        <v/>
      </c>
      <c r="J48" s="16">
        <f>G48*1.105</f>
        <v/>
      </c>
      <c r="K48" s="16">
        <f>H48*1.105</f>
        <v/>
      </c>
      <c r="L48" s="16" t="n">
        <v>91353.42</v>
      </c>
      <c r="M48" s="16" t="n">
        <v>62864.28</v>
      </c>
      <c r="N48" s="16" t="n">
        <v>68948.97</v>
      </c>
    </row>
    <row r="49">
      <c r="A49" s="3" t="n">
        <v>284</v>
      </c>
      <c r="B49" s="3" t="inlineStr">
        <is>
          <t>GUIA DE 3 HOJAS A 45</t>
        </is>
      </c>
      <c r="C49" s="3" t="n">
        <v>6150</v>
      </c>
      <c r="D49" s="3" t="n">
        <v>1.647</v>
      </c>
      <c r="E49" s="22">
        <f>D49*C49/1000</f>
        <v/>
      </c>
      <c r="F49" s="16">
        <f>L49/1.21</f>
        <v/>
      </c>
      <c r="G49" s="16">
        <f>M49/1.21</f>
        <v/>
      </c>
      <c r="H49" s="16">
        <f>N49/1.21</f>
        <v/>
      </c>
      <c r="I49" s="16">
        <f>F49*1.105</f>
        <v/>
      </c>
      <c r="J49" s="16">
        <f>G49*1.105</f>
        <v/>
      </c>
      <c r="K49" s="16">
        <f>H49*1.105</f>
        <v/>
      </c>
      <c r="L49" s="16" t="n">
        <v>181771.89</v>
      </c>
      <c r="M49" s="16" t="n">
        <v>174108.35</v>
      </c>
      <c r="N49" s="16" t="n">
        <v>181055.29</v>
      </c>
    </row>
    <row r="50">
      <c r="A50" s="3" t="n">
        <v>315</v>
      </c>
      <c r="B50" s="3" t="inlineStr">
        <is>
          <t>SOLAPA CENTRAL</t>
        </is>
      </c>
      <c r="C50" s="3" t="n">
        <v>6200</v>
      </c>
      <c r="D50" s="3" t="n">
        <v>0.381</v>
      </c>
      <c r="E50" s="22">
        <f>D50*C50/1000</f>
        <v/>
      </c>
      <c r="F50" s="16">
        <f>L50/1.21</f>
        <v/>
      </c>
      <c r="G50" s="16">
        <f>M50/1.21</f>
        <v/>
      </c>
      <c r="H50" s="16">
        <f>N50/1.21</f>
        <v/>
      </c>
      <c r="I50" s="16">
        <f>F50*1.105</f>
        <v/>
      </c>
      <c r="J50" s="16">
        <f>G50*1.105</f>
        <v/>
      </c>
      <c r="K50" s="16">
        <f>H50*1.105</f>
        <v/>
      </c>
      <c r="L50" s="16" t="n">
        <v>46929.61</v>
      </c>
      <c r="M50" s="16" t="n">
        <v>40978.61</v>
      </c>
      <c r="N50" s="16" t="n">
        <v>40860.63</v>
      </c>
    </row>
    <row r="51">
      <c r="A51" s="3" t="n">
        <v>324</v>
      </c>
      <c r="B51" s="3" t="inlineStr">
        <is>
          <t>ENCUENTRO CENTRAL CORREDIZA 4 HOJAS 45</t>
        </is>
      </c>
      <c r="C51" s="3" t="n">
        <v>6200</v>
      </c>
      <c r="D51" s="3" t="n">
        <v>0.208</v>
      </c>
      <c r="E51" s="22">
        <f>D51*C51/1000</f>
        <v/>
      </c>
      <c r="F51" s="16">
        <f>L51/1.21</f>
        <v/>
      </c>
      <c r="G51" s="16">
        <f>M51/1.21</f>
        <v/>
      </c>
      <c r="H51" s="16">
        <f>N51/1.21</f>
        <v/>
      </c>
      <c r="I51" s="16">
        <f>F51*1.105</f>
        <v/>
      </c>
      <c r="J51" s="16">
        <f>G51*1.105</f>
        <v/>
      </c>
      <c r="K51" s="16">
        <f>H51*1.105</f>
        <v/>
      </c>
      <c r="L51" s="16" t="n">
        <v>23427.1</v>
      </c>
      <c r="M51" s="16" t="n">
        <v>23246.36</v>
      </c>
      <c r="N51" s="16" t="n">
        <v>23334.31</v>
      </c>
    </row>
    <row r="52">
      <c r="A52" s="3" t="n">
        <v>325</v>
      </c>
      <c r="B52" s="3" t="inlineStr">
        <is>
          <t>HOJA PERIMETRAL PARA VIDRIO SIMPLE</t>
        </is>
      </c>
      <c r="C52" s="3" t="n">
        <v>6200</v>
      </c>
      <c r="D52" s="3" t="n">
        <v>0.824</v>
      </c>
      <c r="E52" s="22">
        <f>D52*C52/1000</f>
        <v/>
      </c>
      <c r="F52" s="16">
        <f>L52/1.21</f>
        <v/>
      </c>
      <c r="G52" s="16">
        <f>M52/1.21</f>
        <v/>
      </c>
      <c r="H52" s="16">
        <f>N52/1.21</f>
        <v/>
      </c>
      <c r="I52" s="16">
        <f>F52*1.105</f>
        <v/>
      </c>
      <c r="J52" s="16">
        <f>G52*1.105</f>
        <v/>
      </c>
      <c r="K52" s="16">
        <f>H52*1.105</f>
        <v/>
      </c>
      <c r="L52" s="16" t="n">
        <v>106215.98</v>
      </c>
      <c r="M52" s="16" t="n">
        <v>87840.97</v>
      </c>
      <c r="N52" s="16" t="n">
        <v>94112.34</v>
      </c>
    </row>
    <row r="53">
      <c r="A53" s="3" t="n">
        <v>326</v>
      </c>
      <c r="B53" s="3" t="inlineStr">
        <is>
          <t>MOSQUITERO REFORZADO (L/R60) - MDT</t>
        </is>
      </c>
      <c r="C53" s="3" t="n">
        <v>6200</v>
      </c>
      <c r="D53" s="22" t="n">
        <v>0.617</v>
      </c>
      <c r="E53" s="22">
        <f>D53*C53/1000</f>
        <v/>
      </c>
      <c r="F53" s="16">
        <f>L53/1.21</f>
        <v/>
      </c>
      <c r="G53" s="16">
        <f>M53/1.21</f>
        <v/>
      </c>
      <c r="H53" s="16">
        <f>N53/1.21</f>
        <v/>
      </c>
      <c r="I53" s="16">
        <f>F53*1.105</f>
        <v/>
      </c>
      <c r="J53" s="16">
        <f>G53*1.105</f>
        <v/>
      </c>
      <c r="K53" s="16">
        <f>H53*1.105</f>
        <v/>
      </c>
      <c r="L53" s="16" t="n">
        <v>82751.42</v>
      </c>
      <c r="M53" s="16" t="n">
        <v>78679.78999999999</v>
      </c>
      <c r="N53" s="16" t="n">
        <v>82063.81</v>
      </c>
    </row>
    <row r="54">
      <c r="A54" s="3" t="n">
        <v>383</v>
      </c>
      <c r="B54" s="3" t="inlineStr">
        <is>
          <t>HOJA PERIMETRAL PARA DVH</t>
        </is>
      </c>
      <c r="C54" s="3" t="n">
        <v>6200</v>
      </c>
      <c r="D54" s="3" t="n">
        <v>0.797</v>
      </c>
      <c r="E54" s="22">
        <f>D54*C54/1000</f>
        <v/>
      </c>
      <c r="F54" s="16">
        <f>L54/1.21</f>
        <v/>
      </c>
      <c r="G54" s="16">
        <f>M54/1.21</f>
        <v/>
      </c>
      <c r="H54" s="16">
        <f>N54/1.21</f>
        <v/>
      </c>
      <c r="I54" s="16">
        <f>F54*1.105</f>
        <v/>
      </c>
      <c r="J54" s="16">
        <f>G54*1.105</f>
        <v/>
      </c>
      <c r="K54" s="16">
        <f>H54*1.105</f>
        <v/>
      </c>
      <c r="L54" s="16" t="n">
        <v>94173.77</v>
      </c>
      <c r="M54" s="16" t="n">
        <v>88922.07000000001</v>
      </c>
      <c r="N54" s="16" t="n">
        <v>94112.36</v>
      </c>
    </row>
    <row r="55">
      <c r="A55" s="3" t="n">
        <v>397</v>
      </c>
      <c r="B55" s="3" t="inlineStr">
        <is>
          <t>HOJA PUERTA CORREDIZA R6045</t>
        </is>
      </c>
      <c r="C55" s="3" t="n">
        <v>6200</v>
      </c>
      <c r="D55" s="3" t="n">
        <v>1.37</v>
      </c>
      <c r="E55" s="22">
        <f>D55*C55/1000</f>
        <v/>
      </c>
      <c r="F55" s="16">
        <f>L55/1.21</f>
        <v/>
      </c>
      <c r="G55" s="16">
        <f>M55/1.21</f>
        <v/>
      </c>
      <c r="H55" s="16">
        <f>N55/1.21</f>
        <v/>
      </c>
      <c r="I55" s="16">
        <f>F55*1.105</f>
        <v/>
      </c>
      <c r="J55" s="16">
        <f>G55*1.105</f>
        <v/>
      </c>
      <c r="K55" s="16">
        <f>H55*1.105</f>
        <v/>
      </c>
      <c r="L55" s="16" t="n">
        <v>178371.3</v>
      </c>
      <c r="M55" s="16" t="n">
        <v>168596.68</v>
      </c>
      <c r="N55" s="16" t="n">
        <v>177401.4</v>
      </c>
    </row>
    <row r="56">
      <c r="A56" s="3" t="n">
        <v>401</v>
      </c>
      <c r="B56" s="3" t="inlineStr">
        <is>
          <t>ACOPLE 180 60MM MASSR60</t>
        </is>
      </c>
      <c r="C56" s="3" t="n">
        <v>6200</v>
      </c>
      <c r="D56" s="3" t="n"/>
      <c r="E56" s="22">
        <f>D56*C56/1000</f>
        <v/>
      </c>
      <c r="F56" s="16">
        <f>L56/1.21</f>
        <v/>
      </c>
      <c r="G56" s="16">
        <f>M56/1.21</f>
        <v/>
      </c>
      <c r="H56" s="16">
        <f>N56/1.21</f>
        <v/>
      </c>
      <c r="I56" s="16">
        <f>F56*1.105</f>
        <v/>
      </c>
      <c r="J56" s="16">
        <f>G56*1.105</f>
        <v/>
      </c>
      <c r="K56" s="16">
        <f>H56*1.105</f>
        <v/>
      </c>
      <c r="L56" s="16" t="n">
        <v>37821.97</v>
      </c>
      <c r="M56" s="16" t="n">
        <v>45119.88</v>
      </c>
      <c r="N56" s="16" t="n">
        <v>37474.56</v>
      </c>
    </row>
    <row r="57">
      <c r="A57" s="3" t="n">
        <v>402</v>
      </c>
      <c r="B57" s="3" t="inlineStr">
        <is>
          <t>SOLAPA CENTRAL R6045</t>
        </is>
      </c>
      <c r="C57" s="3" t="n">
        <v>6200</v>
      </c>
      <c r="D57" s="3" t="n">
        <v>0.429</v>
      </c>
      <c r="E57" s="22">
        <f>D57*C57/1000</f>
        <v/>
      </c>
      <c r="F57" s="16">
        <f>L57/1.21</f>
        <v/>
      </c>
      <c r="G57" s="16">
        <f>M57/1.21</f>
        <v/>
      </c>
      <c r="H57" s="16">
        <f>N57/1.21</f>
        <v/>
      </c>
      <c r="I57" s="16">
        <f>F57*1.105</f>
        <v/>
      </c>
      <c r="J57" s="16">
        <f>G57*1.105</f>
        <v/>
      </c>
      <c r="K57" s="16">
        <f>H57*1.105</f>
        <v/>
      </c>
      <c r="L57" s="16" t="n">
        <v>54976.29</v>
      </c>
      <c r="M57" s="16" t="n">
        <v>48392.93</v>
      </c>
      <c r="N57" s="16" t="n">
        <v>51532.39</v>
      </c>
    </row>
    <row r="58">
      <c r="A58" s="3" t="n">
        <v>615</v>
      </c>
      <c r="B58" s="3" t="inlineStr">
        <is>
          <t>ADAPTADOR VS R6045</t>
        </is>
      </c>
      <c r="C58" s="3" t="n">
        <v>6200</v>
      </c>
      <c r="D58" s="3" t="n">
        <v>0.246</v>
      </c>
      <c r="E58" s="22">
        <f>D58*C58/1000</f>
        <v/>
      </c>
      <c r="F58" s="16">
        <f>L58/1.21</f>
        <v/>
      </c>
      <c r="G58" s="16">
        <f>M58/1.21</f>
        <v/>
      </c>
      <c r="H58" s="16">
        <f>N58/1.21</f>
        <v/>
      </c>
      <c r="I58" s="16">
        <f>F58*1.105</f>
        <v/>
      </c>
      <c r="J58" s="16">
        <f>G58*1.105</f>
        <v/>
      </c>
      <c r="K58" s="16">
        <f>H58*1.105</f>
        <v/>
      </c>
      <c r="L58" s="16" t="n">
        <v>31501.84</v>
      </c>
      <c r="M58" s="16" t="n">
        <v>27110.71</v>
      </c>
      <c r="N58" s="16" t="n">
        <v>29550.3</v>
      </c>
    </row>
    <row r="59">
      <c r="A59" s="3" t="n">
        <v>619</v>
      </c>
      <c r="B59" s="3" t="inlineStr">
        <is>
          <t>HOJA VENTANA CORREDIZA 45</t>
        </is>
      </c>
      <c r="C59" s="3" t="n">
        <v>6200</v>
      </c>
      <c r="D59" s="3" t="n"/>
      <c r="E59" s="22">
        <f>D59*C59/1000</f>
        <v/>
      </c>
      <c r="F59" s="16">
        <f>L59/1.21</f>
        <v/>
      </c>
      <c r="G59" s="16">
        <f>M59/1.21</f>
        <v/>
      </c>
      <c r="H59" s="16">
        <f>N59/1.21</f>
        <v/>
      </c>
      <c r="I59" s="16">
        <f>F59*1.105</f>
        <v/>
      </c>
      <c r="J59" s="16">
        <f>G59*1.105</f>
        <v/>
      </c>
      <c r="K59" s="16">
        <f>H59*1.105</f>
        <v/>
      </c>
      <c r="L59" s="16" t="n">
        <v>140279.77</v>
      </c>
      <c r="M59" s="16" t="n">
        <v>124498.74</v>
      </c>
      <c r="N59" s="16" t="n">
        <v>134296.77</v>
      </c>
    </row>
    <row r="60">
      <c r="A60" s="3" t="n">
        <v>621</v>
      </c>
      <c r="B60" s="3" t="inlineStr">
        <is>
          <t>SOLAPA CENTRAL R6045 619</t>
        </is>
      </c>
      <c r="C60" s="3" t="n">
        <v>6200</v>
      </c>
      <c r="D60" s="3" t="n"/>
      <c r="E60" s="22">
        <f>D60*C60/1000</f>
        <v/>
      </c>
      <c r="F60" s="16">
        <f>L60/1.21</f>
        <v/>
      </c>
      <c r="G60" s="16">
        <f>M60/1.21</f>
        <v/>
      </c>
      <c r="H60" s="16">
        <f>N60/1.21</f>
        <v/>
      </c>
      <c r="I60" s="16">
        <f>F60*1.105</f>
        <v/>
      </c>
      <c r="J60" s="16">
        <f>G60*1.105</f>
        <v/>
      </c>
      <c r="K60" s="16">
        <f>H60*1.105</f>
        <v/>
      </c>
      <c r="L60" s="16" t="n">
        <v>52598.7</v>
      </c>
      <c r="M60" s="16" t="n">
        <v>46600.54</v>
      </c>
      <c r="N60" s="16" t="n">
        <v>48649.32</v>
      </c>
    </row>
    <row r="61">
      <c r="A61" s="3" t="n">
        <v>816</v>
      </c>
      <c r="B61" s="3" t="inlineStr">
        <is>
          <t>COLUMNA 120MM FRENTE INTEGRAL</t>
        </is>
      </c>
      <c r="C61" s="3" t="n">
        <v>6030</v>
      </c>
      <c r="D61" s="3" t="n"/>
      <c r="E61" s="22">
        <f>D61*C61/1000</f>
        <v/>
      </c>
      <c r="F61" s="16">
        <f>L61/1.21</f>
        <v/>
      </c>
      <c r="G61" s="16">
        <f>M61/1.21</f>
        <v/>
      </c>
      <c r="H61" s="16">
        <f>N61/1.21</f>
        <v/>
      </c>
      <c r="I61" s="16">
        <f>F61*1.105</f>
        <v/>
      </c>
      <c r="J61" s="3">
        <f>G61*1.105</f>
        <v/>
      </c>
      <c r="K61" s="3">
        <f>H61*1.105</f>
        <v/>
      </c>
      <c r="L61" s="16" t="n">
        <v>244186.53</v>
      </c>
      <c r="M61" s="16" t="n"/>
      <c r="N61" s="16" t="n"/>
    </row>
    <row r="62">
      <c r="A62" s="3" t="n">
        <v>817</v>
      </c>
      <c r="B62" s="3" t="inlineStr">
        <is>
          <t>COLUMNA 60MM FRENTE INTEGRAL</t>
        </is>
      </c>
      <c r="C62" s="3" t="n">
        <v>6030</v>
      </c>
      <c r="D62" s="3" t="n"/>
      <c r="E62" s="22">
        <f>D62*C62/1000</f>
        <v/>
      </c>
      <c r="F62" s="16">
        <f>L62/1.21</f>
        <v/>
      </c>
      <c r="G62" s="16">
        <f>M62/1.21</f>
        <v/>
      </c>
      <c r="H62" s="16">
        <f>N62/1.21</f>
        <v/>
      </c>
      <c r="I62" s="16">
        <f>F62*1.105</f>
        <v/>
      </c>
      <c r="J62" s="16">
        <f>G62*1.105</f>
        <v/>
      </c>
      <c r="K62" s="16">
        <f>H62*1.105</f>
        <v/>
      </c>
      <c r="L62" s="16" t="n">
        <v>137194.54</v>
      </c>
      <c r="M62" s="16" t="n">
        <v>125827.54</v>
      </c>
      <c r="N62" s="16" t="n">
        <v>133073.29</v>
      </c>
    </row>
    <row r="63">
      <c r="A63" s="3" t="n">
        <v>818</v>
      </c>
      <c r="B63" s="3" t="inlineStr">
        <is>
          <t>TAPA COLUMNA FRENTE INTEGRAL</t>
        </is>
      </c>
      <c r="C63" s="3" t="n">
        <v>6030</v>
      </c>
      <c r="D63" s="3" t="n"/>
      <c r="E63" s="22">
        <f>D63*C63/1000</f>
        <v/>
      </c>
      <c r="F63" s="16">
        <f>L63/1.21</f>
        <v/>
      </c>
      <c r="G63" s="16">
        <f>M63/1.21</f>
        <v/>
      </c>
      <c r="H63" s="16">
        <f>N63/1.21</f>
        <v/>
      </c>
      <c r="I63" s="16">
        <f>F63*1.105</f>
        <v/>
      </c>
      <c r="J63" s="16">
        <f>G63*1.105</f>
        <v/>
      </c>
      <c r="K63" s="3">
        <f>H63*1.105</f>
        <v/>
      </c>
      <c r="L63" s="16" t="n">
        <v>45873.59</v>
      </c>
      <c r="M63" s="16" t="n"/>
      <c r="N63" s="16" t="n">
        <v>41194.95</v>
      </c>
    </row>
    <row r="64">
      <c r="A64" s="3" t="n">
        <v>819</v>
      </c>
      <c r="B64" s="3" t="inlineStr">
        <is>
          <t>PRESOR FRENTE INTEGRAL</t>
        </is>
      </c>
      <c r="C64" s="3" t="n">
        <v>6030</v>
      </c>
      <c r="D64" s="3" t="n"/>
      <c r="E64" s="22">
        <f>D64*C64/1000</f>
        <v/>
      </c>
      <c r="F64" s="16">
        <f>L64/1.21</f>
        <v/>
      </c>
      <c r="G64" s="16">
        <f>M64/1.21</f>
        <v/>
      </c>
      <c r="H64" s="16">
        <f>N64/1.21</f>
        <v/>
      </c>
      <c r="I64" s="16">
        <f>F64*1.105</f>
        <v/>
      </c>
      <c r="J64" s="16">
        <f>G64*1.105</f>
        <v/>
      </c>
      <c r="K64" s="16">
        <f>H64*1.105</f>
        <v/>
      </c>
      <c r="L64" s="16" t="n">
        <v>43113.23</v>
      </c>
      <c r="M64" s="16" t="n">
        <v>43113.23</v>
      </c>
      <c r="N64" s="16" t="n">
        <v>43113.23</v>
      </c>
    </row>
    <row r="65">
      <c r="A65" s="3" t="n">
        <v>821</v>
      </c>
      <c r="B65" s="3" t="inlineStr">
        <is>
          <t>FRRENTE INTEGRAL COLUMNA 140mm</t>
        </is>
      </c>
      <c r="C65" s="3" t="n">
        <v>6030</v>
      </c>
      <c r="D65" s="3" t="n"/>
      <c r="E65" s="22">
        <f>D65*C65/1000</f>
        <v/>
      </c>
      <c r="F65" s="16">
        <f>L65/1.21</f>
        <v/>
      </c>
      <c r="G65" s="16">
        <f>M65/1.21</f>
        <v/>
      </c>
      <c r="H65" s="16">
        <f>N65/1.21</f>
        <v/>
      </c>
      <c r="I65" s="16">
        <f>F65*1.105</f>
        <v/>
      </c>
      <c r="J65" s="16">
        <f>G65*1.105</f>
        <v/>
      </c>
      <c r="K65" s="16">
        <f>H65*1.105</f>
        <v/>
      </c>
      <c r="L65" s="16" t="n">
        <v>279738.8</v>
      </c>
      <c r="M65" s="16" t="n">
        <v>273565.43</v>
      </c>
      <c r="N65" s="16" t="n">
        <v>295693.09</v>
      </c>
    </row>
    <row r="66">
      <c r="A66" s="3" t="n">
        <v>832</v>
      </c>
      <c r="B66" s="3" t="inlineStr">
        <is>
          <t>COLUMNA ESQUINA A 90</t>
        </is>
      </c>
      <c r="C66" s="3" t="n">
        <v>6030</v>
      </c>
      <c r="D66" s="3" t="n"/>
      <c r="E66" s="22">
        <f>D66*C66/1000</f>
        <v/>
      </c>
      <c r="F66" s="16">
        <f>L66/1.21</f>
        <v/>
      </c>
      <c r="G66" s="16">
        <f>M66/1.21</f>
        <v/>
      </c>
      <c r="H66" s="16">
        <f>N66/1.21</f>
        <v/>
      </c>
      <c r="I66" s="3">
        <f>F66*1.105</f>
        <v/>
      </c>
      <c r="J66" s="16">
        <f>G66*1.105</f>
        <v/>
      </c>
      <c r="K66" s="16">
        <f>H66*1.105</f>
        <v/>
      </c>
      <c r="L66" s="16" t="n"/>
      <c r="M66" s="16" t="n">
        <v>309897.06</v>
      </c>
      <c r="N66" s="16" t="n">
        <v>331589.85</v>
      </c>
    </row>
    <row r="67">
      <c r="A67" s="3" t="n">
        <v>833</v>
      </c>
      <c r="B67" s="3" t="inlineStr">
        <is>
          <t>REFUERZO PARA COLUMNA</t>
        </is>
      </c>
      <c r="C67" s="3" t="n">
        <v>6030</v>
      </c>
      <c r="D67" s="3" t="n"/>
      <c r="E67" s="22">
        <f>D67*C67/1000</f>
        <v/>
      </c>
      <c r="F67" s="16">
        <f>L67/1.21</f>
        <v/>
      </c>
      <c r="G67" s="16">
        <f>M67/1.21</f>
        <v/>
      </c>
      <c r="H67" s="16">
        <f>N67/1.21</f>
        <v/>
      </c>
      <c r="I67" s="16">
        <f>F67*1.105</f>
        <v/>
      </c>
      <c r="J67" s="16">
        <f>G67*1.105</f>
        <v/>
      </c>
      <c r="K67" s="16">
        <f>H67*1.105</f>
        <v/>
      </c>
      <c r="L67" s="16" t="n">
        <v>270704.61</v>
      </c>
      <c r="M67" s="16" t="n">
        <v>270704.61</v>
      </c>
      <c r="N67" s="16" t="n">
        <v>270704.61</v>
      </c>
    </row>
    <row r="68">
      <c r="A68" s="3" t="n">
        <v>902</v>
      </c>
      <c r="B68" s="3" t="inlineStr">
        <is>
          <t>TRAV HOJA CORREDIZA</t>
        </is>
      </c>
      <c r="C68" s="3" t="n">
        <v>6030</v>
      </c>
      <c r="D68" s="3" t="n"/>
      <c r="E68" s="22">
        <f>D68*C68/1000</f>
        <v/>
      </c>
      <c r="F68" s="16">
        <f>L68/1.21</f>
        <v/>
      </c>
      <c r="G68" s="16">
        <f>M68/1.21</f>
        <v/>
      </c>
      <c r="H68" s="16">
        <f>N68/1.21</f>
        <v/>
      </c>
      <c r="I68" s="16">
        <f>F68*1.105</f>
        <v/>
      </c>
      <c r="J68" s="16">
        <f>G68*1.105</f>
        <v/>
      </c>
      <c r="K68" s="16">
        <f>H68*1.105</f>
        <v/>
      </c>
      <c r="L68" s="16" t="n">
        <v>49867.37</v>
      </c>
      <c r="M68" s="16" t="n">
        <v>47465.55</v>
      </c>
      <c r="N68" s="16" t="n">
        <v>48959.02</v>
      </c>
    </row>
    <row r="69">
      <c r="A69" s="3" t="n">
        <v>905</v>
      </c>
      <c r="B69" s="3" t="inlineStr">
        <is>
          <t>MOSQUITERO EKONAL</t>
        </is>
      </c>
      <c r="C69" s="3" t="n"/>
      <c r="D69" s="3" t="n"/>
      <c r="E69" s="22">
        <f>D69*C69/1000</f>
        <v/>
      </c>
      <c r="F69" s="16">
        <f>L69/1.21</f>
        <v/>
      </c>
      <c r="G69" s="16">
        <f>M69/1.21</f>
        <v/>
      </c>
      <c r="H69" s="16">
        <f>N69/1.21</f>
        <v/>
      </c>
      <c r="I69" s="16">
        <f>F69*1.105</f>
        <v/>
      </c>
      <c r="J69" s="16">
        <f>G69*1.105</f>
        <v/>
      </c>
      <c r="K69" s="16">
        <f>H69*1.105</f>
        <v/>
      </c>
      <c r="L69" s="16" t="n">
        <v>37793.55</v>
      </c>
      <c r="M69" s="16" t="n">
        <v>37682.79</v>
      </c>
      <c r="N69" s="16" t="n">
        <v>34961.87</v>
      </c>
    </row>
    <row r="70">
      <c r="A70" s="3" t="n">
        <v>932</v>
      </c>
      <c r="B70" s="3" t="inlineStr">
        <is>
          <t>SOLAPA CENTRAL</t>
        </is>
      </c>
      <c r="C70" s="3" t="n">
        <v>6030</v>
      </c>
      <c r="D70" s="3" t="n"/>
      <c r="E70" s="22">
        <f>D70*C70/1000</f>
        <v/>
      </c>
      <c r="F70" s="16">
        <f>L70/1.21</f>
        <v/>
      </c>
      <c r="G70" s="16">
        <f>M70/1.21</f>
        <v/>
      </c>
      <c r="H70" s="16">
        <f>N70/1.21</f>
        <v/>
      </c>
      <c r="I70" s="16">
        <f>F70*1.105</f>
        <v/>
      </c>
      <c r="J70" s="16">
        <f>G70*1.105</f>
        <v/>
      </c>
      <c r="K70" s="16">
        <f>H70*1.105</f>
        <v/>
      </c>
      <c r="L70" s="16" t="n">
        <v>33564.07</v>
      </c>
      <c r="M70" s="16" t="n">
        <v>27940.72</v>
      </c>
      <c r="N70" s="16" t="n">
        <v>28677</v>
      </c>
    </row>
    <row r="71">
      <c r="A71" s="3" t="n">
        <v>950</v>
      </c>
      <c r="B71" s="3" t="inlineStr">
        <is>
          <t>MARCO RECTO 75</t>
        </is>
      </c>
      <c r="C71" s="3" t="n">
        <v>6150</v>
      </c>
      <c r="D71" s="3" t="n"/>
      <c r="E71" s="22">
        <f>D71*C71/1000</f>
        <v/>
      </c>
      <c r="F71" s="16">
        <f>L71/1.21</f>
        <v/>
      </c>
      <c r="G71" s="16">
        <f>M71/1.21</f>
        <v/>
      </c>
      <c r="H71" s="16">
        <f>N71/1.21</f>
        <v/>
      </c>
      <c r="I71" s="3">
        <f>F71*1.105</f>
        <v/>
      </c>
      <c r="J71" s="3">
        <f>G71*1.105</f>
        <v/>
      </c>
      <c r="K71" s="16">
        <f>H71*1.105</f>
        <v/>
      </c>
      <c r="L71" s="16" t="n"/>
      <c r="M71" s="16" t="n">
        <v>70235.10000000001</v>
      </c>
      <c r="N71" s="16" t="n"/>
    </row>
    <row r="72">
      <c r="A72" s="3" t="n">
        <v>951</v>
      </c>
      <c r="B72" s="3" t="inlineStr">
        <is>
          <t>PARANTE HOJA 25mm</t>
        </is>
      </c>
      <c r="C72" s="3" t="n"/>
      <c r="D72" s="3" t="n"/>
      <c r="E72" s="22">
        <f>D72*C72/1000</f>
        <v/>
      </c>
      <c r="F72" s="16">
        <f>L72/1.21</f>
        <v/>
      </c>
      <c r="G72" s="16">
        <f>M72/1.21</f>
        <v/>
      </c>
      <c r="H72" s="16">
        <f>N72/1.21</f>
        <v/>
      </c>
      <c r="I72" s="3">
        <f>F72*1.105</f>
        <v/>
      </c>
      <c r="J72" s="3">
        <f>G72*1.105</f>
        <v/>
      </c>
      <c r="K72" s="16">
        <f>H72*1.105</f>
        <v/>
      </c>
      <c r="L72" s="16" t="n"/>
      <c r="M72" s="16" t="n">
        <v>77087.24000000001</v>
      </c>
      <c r="N72" s="16" t="n"/>
    </row>
    <row r="73">
      <c r="A73" s="3" t="n">
        <v>963</v>
      </c>
      <c r="B73" s="3" t="inlineStr">
        <is>
          <t>Parante hoja postigon</t>
        </is>
      </c>
      <c r="C73" s="3" t="n">
        <v>6150</v>
      </c>
      <c r="D73" s="3" t="n"/>
      <c r="E73" s="22">
        <f>D73*C73/1000</f>
        <v/>
      </c>
      <c r="F73" s="16">
        <f>L73/1.21</f>
        <v/>
      </c>
      <c r="G73" s="16">
        <f>M73/1.21</f>
        <v/>
      </c>
      <c r="H73" s="16">
        <f>N73/1.21</f>
        <v/>
      </c>
      <c r="I73" s="16">
        <f>F73*1.105</f>
        <v/>
      </c>
      <c r="J73" s="16">
        <f>G73*1.105</f>
        <v/>
      </c>
      <c r="K73" s="16">
        <f>H73*1.105</f>
        <v/>
      </c>
      <c r="L73" s="16" t="n">
        <v>58491.91</v>
      </c>
      <c r="M73" s="16" t="n">
        <v>57044.57</v>
      </c>
      <c r="N73" s="16" t="n">
        <v>56642.29</v>
      </c>
    </row>
    <row r="74">
      <c r="A74" s="3" t="n">
        <v>967</v>
      </c>
      <c r="B74" s="3" t="inlineStr">
        <is>
          <t>Marco simple de 31mm</t>
        </is>
      </c>
      <c r="C74" s="3" t="n">
        <v>6150</v>
      </c>
      <c r="D74" s="3" t="n"/>
      <c r="E74" s="22">
        <f>D74*C74/1000</f>
        <v/>
      </c>
      <c r="F74" s="16">
        <f>L74/1.21</f>
        <v/>
      </c>
      <c r="G74" s="16">
        <f>M74/1.21</f>
        <v/>
      </c>
      <c r="H74" s="16">
        <f>N74/1.21</f>
        <v/>
      </c>
      <c r="I74" s="16">
        <f>F74*1.105</f>
        <v/>
      </c>
      <c r="J74" s="16">
        <f>G74*1.105</f>
        <v/>
      </c>
      <c r="K74" s="16">
        <f>H74*1.105</f>
        <v/>
      </c>
      <c r="L74" s="16" t="n">
        <v>51032.84</v>
      </c>
      <c r="M74" s="16" t="n">
        <v>48614.99</v>
      </c>
      <c r="N74" s="16" t="n">
        <v>55600.14</v>
      </c>
    </row>
    <row r="75">
      <c r="A75" s="3" t="n">
        <v>978</v>
      </c>
      <c r="B75" s="3" t="inlineStr">
        <is>
          <t>Batiente reforzado postigon</t>
        </is>
      </c>
      <c r="C75" s="3" t="n">
        <v>6150</v>
      </c>
      <c r="D75" s="3" t="n"/>
      <c r="E75" s="22">
        <f>D75*C75/1000</f>
        <v/>
      </c>
      <c r="F75" s="16">
        <f>L75/1.21</f>
        <v/>
      </c>
      <c r="G75" s="16">
        <f>M75/1.21</f>
        <v/>
      </c>
      <c r="H75" s="16">
        <f>N75/1.21</f>
        <v/>
      </c>
      <c r="I75" s="16">
        <f>F75*1.105</f>
        <v/>
      </c>
      <c r="J75" s="16">
        <f>G75*1.105</f>
        <v/>
      </c>
      <c r="K75" s="16">
        <f>H75*1.105</f>
        <v/>
      </c>
      <c r="L75" s="16" t="n">
        <v>69029.66</v>
      </c>
      <c r="M75" s="16" t="n">
        <v>67312.59</v>
      </c>
      <c r="N75" s="16" t="n">
        <v>66837.89999999999</v>
      </c>
    </row>
    <row r="76">
      <c r="A76" s="3" t="n">
        <v>995</v>
      </c>
      <c r="B76" s="3" t="inlineStr">
        <is>
          <t>REVESTIMIENTO 7 MM</t>
        </is>
      </c>
      <c r="C76" s="3" t="n">
        <v>6030</v>
      </c>
      <c r="D76" s="3" t="n">
        <v>0.9320000000000001</v>
      </c>
      <c r="E76" s="22">
        <f>D76*C76/1000</f>
        <v/>
      </c>
      <c r="F76" s="16">
        <f>L76/1.21</f>
        <v/>
      </c>
      <c r="G76" s="16">
        <f>M76/1.21</f>
        <v/>
      </c>
      <c r="H76" s="16">
        <f>N76/1.21</f>
        <v/>
      </c>
      <c r="I76" s="16">
        <f>F76*1.105</f>
        <v/>
      </c>
      <c r="J76" s="16">
        <f>G76*1.105</f>
        <v/>
      </c>
      <c r="K76" s="16">
        <f>H76*1.105</f>
        <v/>
      </c>
      <c r="L76" s="16" t="n">
        <v>132091.59</v>
      </c>
      <c r="M76" s="16" t="n">
        <v>101295.67</v>
      </c>
      <c r="N76" s="16" t="n">
        <v>107612.38</v>
      </c>
    </row>
    <row r="77">
      <c r="A77" s="3" t="n">
        <v>997</v>
      </c>
      <c r="B77" s="3" t="inlineStr">
        <is>
          <t>ADAPTADOR DVH FRENTE INTEGRL</t>
        </is>
      </c>
      <c r="C77" s="3" t="n">
        <v>6030</v>
      </c>
      <c r="D77" s="3" t="n"/>
      <c r="E77" s="22">
        <f>D77*C77/1000</f>
        <v/>
      </c>
      <c r="F77" s="16">
        <f>L77/1.21</f>
        <v/>
      </c>
      <c r="G77" s="16">
        <f>M77/1.21</f>
        <v/>
      </c>
      <c r="H77" s="16">
        <f>N77/1.21</f>
        <v/>
      </c>
      <c r="I77" s="16">
        <f>F77*1.105</f>
        <v/>
      </c>
      <c r="J77" s="16">
        <f>G77*1.105</f>
        <v/>
      </c>
      <c r="K77" s="16">
        <f>H77*1.105</f>
        <v/>
      </c>
      <c r="L77" s="16" t="n">
        <v>58089.17</v>
      </c>
      <c r="M77" s="16" t="n">
        <v>58089.17</v>
      </c>
      <c r="N77" s="16" t="n">
        <v>58089.17</v>
      </c>
    </row>
    <row r="78">
      <c r="A78" s="3" t="n">
        <v>2776</v>
      </c>
      <c r="B78" s="3" t="inlineStr">
        <is>
          <t>COLUMNA 100MM</t>
        </is>
      </c>
      <c r="C78" s="3" t="n">
        <v>6030</v>
      </c>
      <c r="D78" s="3" t="n"/>
      <c r="E78" s="22">
        <f>D78*C78/1000</f>
        <v/>
      </c>
      <c r="F78" s="16">
        <f>L78/1.21</f>
        <v/>
      </c>
      <c r="G78" s="16">
        <f>M78/1.21</f>
        <v/>
      </c>
      <c r="H78" s="16">
        <f>N78/1.21</f>
        <v/>
      </c>
      <c r="I78" s="16">
        <f>F78*1.105</f>
        <v/>
      </c>
      <c r="J78" s="16">
        <f>G78*1.105</f>
        <v/>
      </c>
      <c r="K78" s="16">
        <f>H78*1.105</f>
        <v/>
      </c>
      <c r="L78" s="16" t="n">
        <v>216068.51</v>
      </c>
      <c r="M78" s="16" t="n">
        <v>205532.98</v>
      </c>
      <c r="N78" s="16" t="n">
        <v>215804.6</v>
      </c>
    </row>
    <row r="79">
      <c r="A79" s="3" t="n">
        <v>2788</v>
      </c>
      <c r="B79" s="3" t="inlineStr">
        <is>
          <t>TAPA COLUMNA 130MM</t>
        </is>
      </c>
      <c r="C79" s="3" t="n">
        <v>6030</v>
      </c>
      <c r="D79" s="3" t="n"/>
      <c r="E79" s="22">
        <f>D79*C79/1000</f>
        <v/>
      </c>
      <c r="F79" s="16">
        <f>L79/1.21</f>
        <v/>
      </c>
      <c r="G79" s="16">
        <f>M79/1.21</f>
        <v/>
      </c>
      <c r="H79" s="16">
        <f>N79/1.21</f>
        <v/>
      </c>
      <c r="I79" s="3">
        <f>F79*1.105</f>
        <v/>
      </c>
      <c r="J79" s="16">
        <f>G79*1.105</f>
        <v/>
      </c>
      <c r="K79" s="3">
        <f>H79*1.105</f>
        <v/>
      </c>
      <c r="L79" s="16" t="n"/>
      <c r="M79" s="16" t="n"/>
      <c r="N79" s="16" t="n">
        <v>56860.53</v>
      </c>
    </row>
    <row r="80">
      <c r="A80" s="3" t="n">
        <v>4007</v>
      </c>
      <c r="B80" s="3" t="inlineStr">
        <is>
          <t>ENCUENTRO CENTRAL R6045</t>
        </is>
      </c>
      <c r="C80" s="3" t="n">
        <v>6200</v>
      </c>
      <c r="D80" s="3" t="n">
        <v>0.473</v>
      </c>
      <c r="E80" s="22">
        <f>D80*C80/1000</f>
        <v/>
      </c>
      <c r="F80" s="16">
        <f>L80/1.21</f>
        <v/>
      </c>
      <c r="G80" s="16">
        <f>M80/1.21</f>
        <v/>
      </c>
      <c r="H80" s="16">
        <f>N80/1.21</f>
        <v/>
      </c>
      <c r="I80" s="16">
        <f>F80*1.105</f>
        <v/>
      </c>
      <c r="J80" s="16">
        <f>G80*1.105</f>
        <v/>
      </c>
      <c r="K80" s="16">
        <f>H80*1.105</f>
        <v/>
      </c>
      <c r="L80" s="16" t="n">
        <v>61506.25</v>
      </c>
      <c r="M80" s="16" t="n">
        <v>55562.3</v>
      </c>
      <c r="N80" s="16" t="n">
        <v>56817.84</v>
      </c>
    </row>
    <row r="81">
      <c r="A81" s="3" t="n">
        <v>4020</v>
      </c>
      <c r="B81" s="3" t="inlineStr">
        <is>
          <t xml:space="preserve">ENCUENTRO CENTRAL DE ABRIR R60 </t>
        </is>
      </c>
      <c r="C81" s="3" t="n">
        <v>6200</v>
      </c>
      <c r="D81" s="3" t="n"/>
      <c r="E81" s="22">
        <f>D81*C81/1000</f>
        <v/>
      </c>
      <c r="F81" s="16">
        <f>L81/1.21</f>
        <v/>
      </c>
      <c r="G81" s="16">
        <f>M81/1.21</f>
        <v/>
      </c>
      <c r="H81" s="16">
        <f>N81/1.21</f>
        <v/>
      </c>
      <c r="I81" s="16">
        <f>F81*1.105</f>
        <v/>
      </c>
      <c r="J81" s="16">
        <f>G81*1.105</f>
        <v/>
      </c>
      <c r="K81" s="16">
        <f>H81*1.105</f>
        <v/>
      </c>
      <c r="L81" s="16" t="n">
        <v>124145.34</v>
      </c>
      <c r="M81" s="16" t="n">
        <v>108450.31</v>
      </c>
      <c r="N81" s="16" t="n">
        <v>113532.79</v>
      </c>
    </row>
    <row r="82">
      <c r="A82" s="3" t="n">
        <v>4024</v>
      </c>
      <c r="B82" s="3" t="inlineStr">
        <is>
          <t>COLUMNA ACOPLE 90°</t>
        </is>
      </c>
      <c r="C82" s="3" t="n">
        <v>6200</v>
      </c>
      <c r="D82" s="3" t="n"/>
      <c r="E82" s="22">
        <f>D82*C82/1000</f>
        <v/>
      </c>
      <c r="F82" s="16">
        <f>L82/1.21</f>
        <v/>
      </c>
      <c r="G82" s="16">
        <f>M82/1.21</f>
        <v/>
      </c>
      <c r="H82" s="16">
        <f>N82/1.21</f>
        <v/>
      </c>
      <c r="I82" s="16">
        <f>F82*1.105</f>
        <v/>
      </c>
      <c r="J82" s="16">
        <f>G82*1.105</f>
        <v/>
      </c>
      <c r="K82" s="16">
        <f>H82*1.105</f>
        <v/>
      </c>
      <c r="L82" s="16" t="n">
        <v>126004.61</v>
      </c>
      <c r="M82" s="16" t="n">
        <v>117242.18</v>
      </c>
      <c r="N82" s="16" t="n">
        <v>125663.75</v>
      </c>
    </row>
    <row r="83">
      <c r="A83" s="3" t="n">
        <v>6090</v>
      </c>
      <c r="B83" s="3" t="inlineStr">
        <is>
          <t>Pletina</t>
        </is>
      </c>
      <c r="C83" s="3" t="n">
        <v>6000</v>
      </c>
      <c r="D83" s="3" t="n"/>
      <c r="E83" s="22">
        <f>D83*C83/1000</f>
        <v/>
      </c>
      <c r="F83" s="16">
        <f>L83/1.21</f>
        <v/>
      </c>
      <c r="G83" s="16">
        <f>M83/1.21</f>
        <v/>
      </c>
      <c r="H83" s="16">
        <f>N83/1.21</f>
        <v/>
      </c>
      <c r="I83" s="16">
        <f>F83*1.105</f>
        <v/>
      </c>
      <c r="J83" s="16">
        <f>G83*1.105</f>
        <v/>
      </c>
      <c r="K83" s="16">
        <f>H83*1.105</f>
        <v/>
      </c>
      <c r="L83" s="16" t="n">
        <v>23783.76</v>
      </c>
      <c r="M83" s="16" t="n">
        <v>23783.76</v>
      </c>
      <c r="N83" s="16" t="n">
        <v>23783.76</v>
      </c>
    </row>
    <row r="84">
      <c r="A84" s="3" t="n">
        <v>6501</v>
      </c>
      <c r="B84" s="3" t="inlineStr">
        <is>
          <t>CABEZAL Y ZOCALO CORREDIZA R60/90</t>
        </is>
      </c>
      <c r="C84" s="3" t="n">
        <v>6200</v>
      </c>
      <c r="D84" s="3" t="n"/>
      <c r="E84" s="22">
        <f>D84*C84/1000</f>
        <v/>
      </c>
      <c r="F84" s="16">
        <f>L84/1.21</f>
        <v/>
      </c>
      <c r="G84" s="16">
        <f>M84/1.21</f>
        <v/>
      </c>
      <c r="H84" s="16">
        <f>N84/1.21</f>
        <v/>
      </c>
      <c r="I84" s="16">
        <f>F84*1.105</f>
        <v/>
      </c>
      <c r="J84" s="16">
        <f>G84*1.105</f>
        <v/>
      </c>
      <c r="K84" s="16">
        <f>H84*1.105</f>
        <v/>
      </c>
      <c r="L84" s="16" t="n">
        <v>109307.24</v>
      </c>
      <c r="M84" s="16" t="n">
        <v>107257.18</v>
      </c>
      <c r="N84" s="16" t="n">
        <v>104600.06</v>
      </c>
    </row>
    <row r="85">
      <c r="A85" s="3" t="n">
        <v>6502</v>
      </c>
      <c r="B85" s="3" t="inlineStr">
        <is>
          <t>ZOCALO ALTO R60/90</t>
        </is>
      </c>
      <c r="C85" s="3" t="n">
        <v>6200</v>
      </c>
      <c r="D85" s="3" t="n"/>
      <c r="E85" s="22">
        <f>D85*C85/1000</f>
        <v/>
      </c>
      <c r="F85" s="16">
        <f>L85/1.21</f>
        <v/>
      </c>
      <c r="G85" s="16">
        <f>M85/1.21</f>
        <v/>
      </c>
      <c r="H85" s="16">
        <f>N85/1.21</f>
        <v/>
      </c>
      <c r="I85" s="16">
        <f>F85*1.105</f>
        <v/>
      </c>
      <c r="J85" s="16">
        <f>G85*1.105</f>
        <v/>
      </c>
      <c r="K85" s="16">
        <f>H85*1.105</f>
        <v/>
      </c>
      <c r="L85" s="16" t="n">
        <v>179788.12</v>
      </c>
      <c r="M85" s="16" t="n">
        <v>156351.18</v>
      </c>
      <c r="N85" s="16" t="n">
        <v>177157.52</v>
      </c>
    </row>
    <row r="86">
      <c r="A86" s="3" t="n">
        <v>6503</v>
      </c>
      <c r="B86" s="3" t="inlineStr">
        <is>
          <t>PARANTE LATERAL R60/90</t>
        </is>
      </c>
      <c r="C86" s="3" t="n">
        <v>6200</v>
      </c>
      <c r="D86" s="3" t="n"/>
      <c r="E86" s="22">
        <f>D86*C86/1000</f>
        <v/>
      </c>
      <c r="F86" s="16">
        <f>L86/1.21</f>
        <v/>
      </c>
      <c r="G86" s="16">
        <f>M86/1.21</f>
        <v/>
      </c>
      <c r="H86" s="16">
        <f>N86/1.21</f>
        <v/>
      </c>
      <c r="I86" s="16">
        <f>F86*1.105</f>
        <v/>
      </c>
      <c r="J86" s="16">
        <f>G86*1.105</f>
        <v/>
      </c>
      <c r="K86" s="16">
        <f>H86*1.105</f>
        <v/>
      </c>
      <c r="L86" s="16" t="n">
        <v>157902</v>
      </c>
      <c r="M86" s="16" t="n">
        <v>134156.68</v>
      </c>
      <c r="N86" s="16" t="n">
        <v>155585.27</v>
      </c>
    </row>
    <row r="87">
      <c r="A87" s="3" t="n">
        <v>6504</v>
      </c>
      <c r="B87" s="3" t="inlineStr">
        <is>
          <t>PARANTE CENTRAL R60/90</t>
        </is>
      </c>
      <c r="C87" s="3" t="n">
        <v>6200</v>
      </c>
      <c r="D87" s="3" t="n"/>
      <c r="E87" s="22">
        <f>D87*C87/1000</f>
        <v/>
      </c>
      <c r="F87" s="16">
        <f>L87/1.21</f>
        <v/>
      </c>
      <c r="G87" s="16">
        <f>M87/1.21</f>
        <v/>
      </c>
      <c r="H87" s="16">
        <f>N87/1.21</f>
        <v/>
      </c>
      <c r="I87" s="16">
        <f>F87*1.105</f>
        <v/>
      </c>
      <c r="J87" s="16">
        <f>G87*1.105</f>
        <v/>
      </c>
      <c r="K87" s="16">
        <f>H87*1.105</f>
        <v/>
      </c>
      <c r="L87" s="16" t="n">
        <v>155058</v>
      </c>
      <c r="M87" s="16" t="n">
        <v>139434.42</v>
      </c>
      <c r="N87" s="16" t="n">
        <v>140957.04</v>
      </c>
    </row>
    <row r="88">
      <c r="A88" s="3" t="n">
        <v>6505</v>
      </c>
      <c r="B88" s="3" t="inlineStr">
        <is>
          <t>Tope de mosquitero corte a 90</t>
        </is>
      </c>
      <c r="C88" s="3" t="n">
        <v>6200</v>
      </c>
      <c r="D88" s="3" t="n"/>
      <c r="E88" s="22">
        <f>D88*C88/1000</f>
        <v/>
      </c>
      <c r="F88" s="16">
        <f>L88/1.21</f>
        <v/>
      </c>
      <c r="G88" s="16">
        <f>M88/1.21</f>
        <v/>
      </c>
      <c r="H88" s="16">
        <f>N88/1.21</f>
        <v/>
      </c>
      <c r="I88" s="16">
        <f>F88*1.105</f>
        <v/>
      </c>
      <c r="J88" s="16">
        <f>G88*1.105</f>
        <v/>
      </c>
      <c r="K88" s="16">
        <f>H88*1.105</f>
        <v/>
      </c>
      <c r="L88" s="16" t="n">
        <v>40289.95</v>
      </c>
      <c r="M88" s="16" t="n">
        <v>36106.01</v>
      </c>
      <c r="N88" s="16" t="n">
        <v>37342.52</v>
      </c>
    </row>
    <row r="89">
      <c r="A89" s="3" t="n">
        <v>6508</v>
      </c>
      <c r="B89" s="3" t="inlineStr">
        <is>
          <t>ADAPTADOR VIDRIO SIMPLE R60/90</t>
        </is>
      </c>
      <c r="C89" s="3" t="n">
        <v>6200</v>
      </c>
      <c r="D89" s="3" t="n"/>
      <c r="E89" s="22">
        <f>D89*C89/1000</f>
        <v/>
      </c>
      <c r="F89" s="16">
        <f>L89/1.21</f>
        <v/>
      </c>
      <c r="G89" s="16">
        <f>M89/1.21</f>
        <v/>
      </c>
      <c r="H89" s="16">
        <f>N89/1.21</f>
        <v/>
      </c>
      <c r="I89" s="16">
        <f>F89*1.105</f>
        <v/>
      </c>
      <c r="J89" s="16">
        <f>G89*1.105</f>
        <v/>
      </c>
      <c r="K89" s="16">
        <f>H89*1.105</f>
        <v/>
      </c>
      <c r="L89" s="16" t="n">
        <v>155058</v>
      </c>
      <c r="M89" s="16" t="n">
        <v>33964.67</v>
      </c>
      <c r="N89" s="16" t="n">
        <v>33644.63</v>
      </c>
    </row>
    <row r="90">
      <c r="A90" s="3" t="n">
        <v>6510</v>
      </c>
      <c r="B90" s="3" t="inlineStr">
        <is>
          <t>JAMBA DE 3 GUIAS R60/90</t>
        </is>
      </c>
      <c r="C90" s="3" t="n">
        <v>6200</v>
      </c>
      <c r="D90" s="3" t="n"/>
      <c r="E90" s="22">
        <f>D90*C90/1000</f>
        <v/>
      </c>
      <c r="F90" s="16">
        <f>L90/1.21</f>
        <v/>
      </c>
      <c r="G90" s="16">
        <f>M90/1.21</f>
        <v/>
      </c>
      <c r="H90" s="16">
        <f>N90/1.21</f>
        <v/>
      </c>
      <c r="I90" s="16">
        <f>F90*1.105</f>
        <v/>
      </c>
      <c r="J90" s="16">
        <f>G90*1.105</f>
        <v/>
      </c>
      <c r="K90" s="16">
        <f>H90*1.105</f>
        <v/>
      </c>
      <c r="L90" s="16" t="n">
        <v>164084.49</v>
      </c>
      <c r="M90" s="16" t="n">
        <v>155293.68</v>
      </c>
      <c r="N90" s="16" t="n">
        <v>158767.84</v>
      </c>
    </row>
    <row r="91">
      <c r="A91" s="3" t="n">
        <v>6511</v>
      </c>
      <c r="B91" s="3" t="inlineStr">
        <is>
          <t>JAMBA 2 GUIAS R60/90</t>
        </is>
      </c>
      <c r="C91" s="3" t="n">
        <v>6200</v>
      </c>
      <c r="D91" s="3" t="n"/>
      <c r="E91" s="22">
        <f>D91*C91/1000</f>
        <v/>
      </c>
      <c r="F91" s="16">
        <f>L91/1.21</f>
        <v/>
      </c>
      <c r="G91" s="16">
        <f>M91/1.21</f>
        <v/>
      </c>
      <c r="H91" s="16">
        <f>N91/1.21</f>
        <v/>
      </c>
      <c r="I91" s="16">
        <f>F91*1.105</f>
        <v/>
      </c>
      <c r="J91" s="16">
        <f>G91*1.105</f>
        <v/>
      </c>
      <c r="K91" s="16">
        <f>H91*1.105</f>
        <v/>
      </c>
      <c r="L91" s="16" t="n">
        <v>110667.4</v>
      </c>
      <c r="M91" s="16" t="n">
        <v>94482.87</v>
      </c>
      <c r="N91" s="16" t="n">
        <v>97260.14</v>
      </c>
    </row>
    <row r="92">
      <c r="A92" s="3" t="n">
        <v>6512</v>
      </c>
      <c r="B92" s="3" t="inlineStr">
        <is>
          <t>UMBRAL Y DINTEL 2 GUIAS  R60/90</t>
        </is>
      </c>
      <c r="C92" s="3" t="n">
        <v>6200</v>
      </c>
      <c r="D92" s="3" t="n"/>
      <c r="E92" s="22">
        <f>D92*C92/1000</f>
        <v/>
      </c>
      <c r="F92" s="16">
        <f>L92/1.21</f>
        <v/>
      </c>
      <c r="G92" s="16">
        <f>M92/1.21</f>
        <v/>
      </c>
      <c r="H92" s="16">
        <f>N92/1.21</f>
        <v/>
      </c>
      <c r="I92" s="16">
        <f>F92*1.105</f>
        <v/>
      </c>
      <c r="J92" s="16">
        <f>G92*1.105</f>
        <v/>
      </c>
      <c r="K92" s="16">
        <f>H92*1.105</f>
        <v/>
      </c>
      <c r="L92" s="16" t="n">
        <v>209958.95</v>
      </c>
      <c r="M92" s="16" t="n">
        <v>182183.75</v>
      </c>
      <c r="N92" s="16" t="n">
        <v>209199.87</v>
      </c>
    </row>
    <row r="93">
      <c r="A93" s="3" t="n">
        <v>6513</v>
      </c>
      <c r="B93" s="3" t="inlineStr">
        <is>
          <t>GUIA DE MARCO R60/90</t>
        </is>
      </c>
      <c r="C93" s="3" t="n">
        <v>6200</v>
      </c>
      <c r="D93" s="3" t="n"/>
      <c r="E93" s="22">
        <f>D93*C93/1000</f>
        <v/>
      </c>
      <c r="F93" s="16">
        <f>L93/1.21</f>
        <v/>
      </c>
      <c r="G93" s="16">
        <f>M93/1.21</f>
        <v/>
      </c>
      <c r="H93" s="16">
        <f>N93/1.21</f>
        <v/>
      </c>
      <c r="I93" s="16">
        <f>F93*1.105</f>
        <v/>
      </c>
      <c r="J93" s="16">
        <f>G93*1.105</f>
        <v/>
      </c>
      <c r="K93" s="16">
        <f>H93*1.105</f>
        <v/>
      </c>
      <c r="L93" s="16" t="n">
        <v>11004.92</v>
      </c>
      <c r="M93" s="16" t="n">
        <v>10725.64</v>
      </c>
      <c r="N93" s="16" t="n">
        <v>9725.98</v>
      </c>
    </row>
    <row r="94">
      <c r="A94" s="3" t="n">
        <v>6514</v>
      </c>
      <c r="B94" s="3" t="inlineStr">
        <is>
          <t>ENCUENTRO CENTRAL 4 HOJAS R60/90</t>
        </is>
      </c>
      <c r="C94" s="3" t="n">
        <v>6200</v>
      </c>
      <c r="D94" s="3" t="n"/>
      <c r="E94" s="22">
        <f>D94*C94/1000</f>
        <v/>
      </c>
      <c r="F94" s="16">
        <f>L94/1.21</f>
        <v/>
      </c>
      <c r="G94" s="16">
        <f>M94/1.21</f>
        <v/>
      </c>
      <c r="H94" s="16">
        <f>N94/1.21</f>
        <v/>
      </c>
      <c r="I94" s="16">
        <f>F94*1.105</f>
        <v/>
      </c>
      <c r="J94" s="16">
        <f>G94*1.105</f>
        <v/>
      </c>
      <c r="K94" s="16">
        <f>H94*1.105</f>
        <v/>
      </c>
      <c r="L94" s="16" t="n">
        <v>36847.92</v>
      </c>
      <c r="M94" s="16" t="n">
        <v>35752.42</v>
      </c>
      <c r="N94" s="16" t="n">
        <v>33667.94</v>
      </c>
    </row>
    <row r="95">
      <c r="A95" s="3" t="n">
        <v>6515</v>
      </c>
      <c r="B95" s="3" t="inlineStr">
        <is>
          <t>UMBRAL Y DINTEL 3 GUIAS R60/90</t>
        </is>
      </c>
      <c r="C95" s="3" t="n">
        <v>6200</v>
      </c>
      <c r="D95" s="3" t="n"/>
      <c r="E95" s="22">
        <f>D95*C95/1000</f>
        <v/>
      </c>
      <c r="F95" s="16">
        <f>L95/1.21</f>
        <v/>
      </c>
      <c r="G95" s="16">
        <f>M95/1.21</f>
        <v/>
      </c>
      <c r="H95" s="16">
        <f>N95/1.21</f>
        <v/>
      </c>
      <c r="I95" s="16">
        <f>F95*1.105</f>
        <v/>
      </c>
      <c r="J95" s="16">
        <f>G95*1.105</f>
        <v/>
      </c>
      <c r="K95" s="16">
        <f>H95*1.105</f>
        <v/>
      </c>
      <c r="L95" s="16" t="n">
        <v>297998.26</v>
      </c>
      <c r="M95" s="16" t="n">
        <v>282444.01</v>
      </c>
      <c r="N95" s="16" t="n">
        <v>294263.53</v>
      </c>
    </row>
    <row r="96">
      <c r="A96" s="3" t="n">
        <v>6520</v>
      </c>
      <c r="B96" s="3" t="inlineStr">
        <is>
          <t>PAÑO FIJO R60</t>
        </is>
      </c>
      <c r="C96" s="3" t="n">
        <v>6200</v>
      </c>
      <c r="D96" s="3" t="n"/>
      <c r="E96" s="22">
        <f>D96*C96/1000</f>
        <v/>
      </c>
      <c r="F96" s="16">
        <f>L96/1.21</f>
        <v/>
      </c>
      <c r="G96" s="16">
        <f>M96/1.21</f>
        <v/>
      </c>
      <c r="H96" s="16">
        <f>N96/1.21</f>
        <v/>
      </c>
      <c r="I96" s="16">
        <f>F96*1.105</f>
        <v/>
      </c>
      <c r="J96" s="16">
        <f>G96*1.105</f>
        <v/>
      </c>
      <c r="K96" s="16">
        <f>H96*1.105</f>
        <v/>
      </c>
      <c r="L96" s="16" t="n">
        <v>122166.93</v>
      </c>
      <c r="M96" s="16" t="n">
        <v>121730.59</v>
      </c>
      <c r="N96" s="16" t="n">
        <v>107539.81</v>
      </c>
    </row>
    <row r="97">
      <c r="A97" s="3" t="n">
        <v>6521</v>
      </c>
      <c r="B97" s="3" t="inlineStr">
        <is>
          <t xml:space="preserve">TRAVESAÑO PAÑO FIJO MASS R60 </t>
        </is>
      </c>
      <c r="C97" s="3" t="n">
        <v>6200</v>
      </c>
      <c r="D97" s="3" t="n"/>
      <c r="E97" s="22">
        <f>D97*C97/1000</f>
        <v/>
      </c>
      <c r="F97" s="16">
        <f>L97/1.21</f>
        <v/>
      </c>
      <c r="G97" s="16">
        <f>M97/1.21</f>
        <v/>
      </c>
      <c r="H97" s="16">
        <f>N97/1.21</f>
        <v/>
      </c>
      <c r="I97" s="16">
        <f>F97*1.105</f>
        <v/>
      </c>
      <c r="J97" s="16">
        <f>G97*1.105</f>
        <v/>
      </c>
      <c r="K97" s="16">
        <f>H97*1.105</f>
        <v/>
      </c>
      <c r="L97" s="16" t="n">
        <v>139242.76</v>
      </c>
      <c r="M97" s="16" t="n">
        <v>138009.45</v>
      </c>
      <c r="N97" s="16" t="n">
        <v>133887.31</v>
      </c>
    </row>
    <row r="98">
      <c r="A98" s="3" t="n">
        <v>6522</v>
      </c>
      <c r="B98" s="3" t="inlineStr">
        <is>
          <t>MARCO VENTANA REBATIR MASS R60</t>
        </is>
      </c>
      <c r="C98" s="3" t="n">
        <v>6200</v>
      </c>
      <c r="D98" s="3" t="n"/>
      <c r="E98" s="22">
        <f>D98*C98/1000</f>
        <v/>
      </c>
      <c r="F98" s="16">
        <f>L98/1.21</f>
        <v/>
      </c>
      <c r="G98" s="16">
        <f>M98/1.21</f>
        <v/>
      </c>
      <c r="H98" s="16">
        <f>N98/1.21</f>
        <v/>
      </c>
      <c r="I98" s="16">
        <f>F98*1.105</f>
        <v/>
      </c>
      <c r="J98" s="16">
        <f>G98*1.105</f>
        <v/>
      </c>
      <c r="K98" s="16">
        <f>H98*1.105</f>
        <v/>
      </c>
      <c r="L98" s="16" t="n">
        <v>123400.25</v>
      </c>
      <c r="M98" s="16" t="n">
        <v>116501.57</v>
      </c>
      <c r="N98" s="16" t="n">
        <v>116112.2</v>
      </c>
    </row>
    <row r="99">
      <c r="A99" s="3" t="n">
        <v>6523</v>
      </c>
      <c r="B99" s="3" t="inlineStr">
        <is>
          <t>MARCO PUERTA REBATIR MASS R60</t>
        </is>
      </c>
      <c r="C99" s="3" t="n">
        <v>6200</v>
      </c>
      <c r="D99" s="3" t="n"/>
      <c r="E99" s="22">
        <f>D99*C99/1000</f>
        <v/>
      </c>
      <c r="F99" s="16">
        <f>L99/1.21</f>
        <v/>
      </c>
      <c r="G99" s="16">
        <f>M99/1.21</f>
        <v/>
      </c>
      <c r="H99" s="16">
        <f>N99/1.21</f>
        <v/>
      </c>
      <c r="I99" s="16">
        <f>F99*1.105</f>
        <v/>
      </c>
      <c r="J99" s="16">
        <f>G99*1.105</f>
        <v/>
      </c>
      <c r="K99" s="16">
        <f>H99*1.105</f>
        <v/>
      </c>
      <c r="L99" s="16" t="n">
        <v>157829.06</v>
      </c>
      <c r="M99" s="16" t="n">
        <v>140510.24</v>
      </c>
      <c r="N99" s="16" t="n">
        <v>137630.04</v>
      </c>
    </row>
    <row r="100">
      <c r="A100" s="3" t="n">
        <v>6526</v>
      </c>
      <c r="B100" s="3" t="inlineStr">
        <is>
          <t>HOJA VENTANA REBATIR R60</t>
        </is>
      </c>
      <c r="C100" s="3" t="n">
        <v>6200</v>
      </c>
      <c r="D100" s="3" t="n"/>
      <c r="E100" s="22">
        <f>D100*C100/1000</f>
        <v/>
      </c>
      <c r="F100" s="16">
        <f>L100/1.21</f>
        <v/>
      </c>
      <c r="G100" s="16">
        <f>M100/1.21</f>
        <v/>
      </c>
      <c r="H100" s="16">
        <f>N100/1.21</f>
        <v/>
      </c>
      <c r="I100" s="16">
        <f>F100*1.105</f>
        <v/>
      </c>
      <c r="J100" s="16">
        <f>G100*1.105</f>
        <v/>
      </c>
      <c r="K100" s="16">
        <f>H100*1.105</f>
        <v/>
      </c>
      <c r="L100" s="16" t="n">
        <v>131988.14</v>
      </c>
      <c r="M100" s="16" t="n">
        <v>125463.1</v>
      </c>
      <c r="N100" s="16" t="n">
        <v>123704.89</v>
      </c>
    </row>
    <row r="101">
      <c r="A101" s="3" t="n">
        <v>6528</v>
      </c>
      <c r="B101" s="3" t="inlineStr">
        <is>
          <t>HOJA PUERTA REBATIR MASS R60</t>
        </is>
      </c>
      <c r="C101" s="3" t="n">
        <v>6200</v>
      </c>
      <c r="D101" s="3" t="n"/>
      <c r="E101" s="22">
        <f>D101*C101/1000</f>
        <v/>
      </c>
      <c r="F101" s="16">
        <f>L101/1.21</f>
        <v/>
      </c>
      <c r="G101" s="16">
        <f>M101/1.21</f>
        <v/>
      </c>
      <c r="H101" s="16">
        <f>N101/1.21</f>
        <v/>
      </c>
      <c r="I101" s="16">
        <f>F101*1.105</f>
        <v/>
      </c>
      <c r="J101" s="16">
        <f>G101*1.105</f>
        <v/>
      </c>
      <c r="K101" s="16">
        <f>H101*1.105</f>
        <v/>
      </c>
      <c r="L101" s="16" t="n">
        <v>181282.51</v>
      </c>
      <c r="M101" s="16" t="n">
        <v>176193.12</v>
      </c>
      <c r="N101" s="16" t="n">
        <v>179586.05</v>
      </c>
    </row>
    <row r="102">
      <c r="A102" s="3" t="n">
        <v>6529</v>
      </c>
      <c r="B102" s="3" t="inlineStr">
        <is>
          <t>TRAVESAÑO PUERTA R60</t>
        </is>
      </c>
      <c r="C102" s="3" t="n">
        <v>6200</v>
      </c>
      <c r="D102" s="3" t="n"/>
      <c r="E102" s="22">
        <f>D102*C102/1000</f>
        <v/>
      </c>
      <c r="F102" s="16">
        <f>L102/1.21</f>
        <v/>
      </c>
      <c r="G102" s="16">
        <f>M102/1.21</f>
        <v/>
      </c>
      <c r="H102" s="16">
        <f>N102/1.21</f>
        <v/>
      </c>
      <c r="I102" s="16">
        <f>F102*1.105</f>
        <v/>
      </c>
      <c r="J102" s="16">
        <f>G102*1.105</f>
        <v/>
      </c>
      <c r="K102" s="16">
        <f>H102*1.105</f>
        <v/>
      </c>
      <c r="L102" s="16" t="n">
        <v>198097.19</v>
      </c>
      <c r="M102" s="16" t="n">
        <v>192535.69</v>
      </c>
      <c r="N102" s="16" t="n">
        <v>196243.33</v>
      </c>
    </row>
    <row r="103">
      <c r="A103" s="3" t="n">
        <v>6530</v>
      </c>
      <c r="B103" s="3" t="inlineStr">
        <is>
          <t>ZOCALO PUERTA REBATIR MASS R60</t>
        </is>
      </c>
      <c r="C103" s="3" t="n">
        <v>6200</v>
      </c>
      <c r="D103" s="3" t="n"/>
      <c r="E103" s="22">
        <f>D103*C103/1000</f>
        <v/>
      </c>
      <c r="F103" s="16">
        <f>L103/1.21</f>
        <v/>
      </c>
      <c r="G103" s="16">
        <f>M103/1.21</f>
        <v/>
      </c>
      <c r="H103" s="16">
        <f>N103/1.21</f>
        <v/>
      </c>
      <c r="I103" s="16">
        <f>F103*1.105</f>
        <v/>
      </c>
      <c r="J103" s="16">
        <f>G103*1.105</f>
        <v/>
      </c>
      <c r="K103" s="16">
        <f>H103*1.105</f>
        <v/>
      </c>
      <c r="L103" s="16" t="n">
        <v>304833.04</v>
      </c>
      <c r="M103" s="16" t="n">
        <v>290357.38</v>
      </c>
      <c r="N103" s="16" t="n">
        <v>282789.6</v>
      </c>
    </row>
    <row r="104">
      <c r="A104" s="3" t="n">
        <v>6531</v>
      </c>
      <c r="B104" s="3" t="inlineStr">
        <is>
          <t>ENCUENTRO CENTRAL VENTANA R60</t>
        </is>
      </c>
      <c r="C104" s="3" t="n">
        <v>6200</v>
      </c>
      <c r="D104" s="3" t="n"/>
      <c r="E104" s="22">
        <f>D104*C104/1000</f>
        <v/>
      </c>
      <c r="F104" s="16">
        <f>L104/1.21</f>
        <v/>
      </c>
      <c r="G104" s="16">
        <f>M104/1.21</f>
        <v/>
      </c>
      <c r="H104" s="16">
        <f>N104/1.21</f>
        <v/>
      </c>
      <c r="I104" s="16">
        <f>F104*1.105</f>
        <v/>
      </c>
      <c r="J104" s="16">
        <f>G104*1.105</f>
        <v/>
      </c>
      <c r="K104" s="16">
        <f>H104*1.105</f>
        <v/>
      </c>
      <c r="L104" s="16" t="n">
        <v>132182.64</v>
      </c>
      <c r="M104" s="16" t="n">
        <v>117580.9</v>
      </c>
      <c r="N104" s="16" t="n">
        <v>124800</v>
      </c>
    </row>
    <row r="105">
      <c r="A105" s="3" t="n">
        <v>6533</v>
      </c>
      <c r="B105" s="3" t="inlineStr">
        <is>
          <t>CONTRAVIDRIO RECTO 40MM MASS R60</t>
        </is>
      </c>
      <c r="C105" s="3" t="n">
        <v>6200</v>
      </c>
      <c r="D105" s="3" t="n"/>
      <c r="E105" s="22">
        <f>D105*C105/1000</f>
        <v/>
      </c>
      <c r="F105" s="16">
        <f>L105/1.21</f>
        <v/>
      </c>
      <c r="G105" s="16">
        <f>M105/1.21</f>
        <v/>
      </c>
      <c r="H105" s="16">
        <f>N105/1.21</f>
        <v/>
      </c>
      <c r="I105" s="16">
        <f>F105*1.105</f>
        <v/>
      </c>
      <c r="J105" s="16">
        <f>G105*1.105</f>
        <v/>
      </c>
      <c r="K105" s="16">
        <f>H105*1.105</f>
        <v/>
      </c>
      <c r="L105" s="16" t="n">
        <v>27100.28</v>
      </c>
      <c r="M105" s="16" t="n">
        <v>25331.7</v>
      </c>
      <c r="N105" s="16" t="n">
        <v>25819.6</v>
      </c>
    </row>
    <row r="106">
      <c r="A106" s="3" t="n">
        <v>6537</v>
      </c>
      <c r="B106" s="3" t="inlineStr">
        <is>
          <t>GUIA CORREDIZA 2 HOJAS R6045</t>
        </is>
      </c>
      <c r="C106" s="3" t="n">
        <v>6200</v>
      </c>
      <c r="D106" s="3" t="n">
        <v>1.472</v>
      </c>
      <c r="E106" s="22">
        <f>D106*C106/1000</f>
        <v/>
      </c>
      <c r="F106" s="16">
        <f>L106/1.21</f>
        <v/>
      </c>
      <c r="G106" s="16">
        <f>M106/1.21</f>
        <v/>
      </c>
      <c r="H106" s="16">
        <f>N106/1.21</f>
        <v/>
      </c>
      <c r="I106" s="16">
        <f>F106*1.105</f>
        <v/>
      </c>
      <c r="J106" s="16">
        <f>G106*1.105</f>
        <v/>
      </c>
      <c r="K106" s="16">
        <f>H106*1.105</f>
        <v/>
      </c>
      <c r="L106" s="16" t="n">
        <v>188179.25</v>
      </c>
      <c r="M106" s="16" t="n">
        <v>161817.55</v>
      </c>
      <c r="N106" s="16" t="n">
        <v>174557.57</v>
      </c>
    </row>
    <row r="107">
      <c r="A107" s="3" t="n">
        <v>6538</v>
      </c>
      <c r="B107" s="3" t="inlineStr">
        <is>
          <t>MARCO 3 GUIAS RECTO R6045</t>
        </is>
      </c>
      <c r="C107" s="3" t="n">
        <v>6200</v>
      </c>
      <c r="D107" s="3" t="n"/>
      <c r="E107" s="22">
        <f>D107*C107/1000</f>
        <v/>
      </c>
      <c r="F107" s="16">
        <f>L107/1.21</f>
        <v/>
      </c>
      <c r="G107" s="16">
        <f>M107/1.21</f>
        <v/>
      </c>
      <c r="H107" s="16">
        <f>N107/1.21</f>
        <v/>
      </c>
      <c r="I107" s="16">
        <f>F107*1.105</f>
        <v/>
      </c>
      <c r="J107" s="16">
        <f>G107*1.105</f>
        <v/>
      </c>
      <c r="K107" s="16">
        <f>H107*1.105</f>
        <v/>
      </c>
      <c r="L107" s="16" t="n">
        <v>270607.08</v>
      </c>
      <c r="M107" s="16" t="n">
        <v>274226.48</v>
      </c>
      <c r="N107" s="16" t="n">
        <v>259103.67</v>
      </c>
    </row>
    <row r="108">
      <c r="A108" s="3" t="n">
        <v>6578</v>
      </c>
      <c r="B108" s="3" t="inlineStr">
        <is>
          <t>MARCO 2 GUIAS (ACOPLABLE) 45</t>
        </is>
      </c>
      <c r="C108" s="3" t="n">
        <v>6200</v>
      </c>
      <c r="D108" s="3" t="n"/>
      <c r="E108" s="22">
        <f>D108*C108/1000</f>
        <v/>
      </c>
      <c r="F108" s="16">
        <f>L108/1.21</f>
        <v/>
      </c>
      <c r="G108" s="16">
        <f>M108/1.21</f>
        <v/>
      </c>
      <c r="H108" s="16">
        <f>N108/1.21</f>
        <v/>
      </c>
      <c r="I108" s="16">
        <f>F108*1.105</f>
        <v/>
      </c>
      <c r="J108" s="16">
        <f>G108*1.105</f>
        <v/>
      </c>
      <c r="K108" s="16">
        <f>H108*1.105</f>
        <v/>
      </c>
      <c r="L108" s="16" t="n">
        <v>161986.48</v>
      </c>
      <c r="M108" s="16" t="n">
        <v>154332.54</v>
      </c>
      <c r="N108" s="16" t="n">
        <v>158728.08</v>
      </c>
    </row>
    <row r="109">
      <c r="A109" s="3" t="n">
        <v>6579</v>
      </c>
      <c r="B109" s="3" t="inlineStr">
        <is>
          <t>MARCO 3 GUIAS (ACOPLABLE) 45</t>
        </is>
      </c>
      <c r="C109" s="3" t="n">
        <v>6200</v>
      </c>
      <c r="D109" s="3" t="n"/>
      <c r="E109" s="22">
        <f>D109*C109/1000</f>
        <v/>
      </c>
      <c r="F109" s="16">
        <f>L109/1.21</f>
        <v/>
      </c>
      <c r="G109" s="16">
        <f>M109/1.21</f>
        <v/>
      </c>
      <c r="H109" s="16">
        <f>N109/1.21</f>
        <v/>
      </c>
      <c r="I109" s="16">
        <f>F109*1.105</f>
        <v/>
      </c>
      <c r="J109" s="16">
        <f>G109*1.105</f>
        <v/>
      </c>
      <c r="K109" s="16">
        <f>H109*1.105</f>
        <v/>
      </c>
      <c r="L109" s="16" t="n">
        <v>239511.14</v>
      </c>
      <c r="M109" s="16" t="n">
        <v>228194.13</v>
      </c>
      <c r="N109" s="16" t="n">
        <v>234693.33</v>
      </c>
    </row>
    <row r="110">
      <c r="A110" s="3" t="n">
        <v>6580</v>
      </c>
      <c r="B110" s="3" t="inlineStr">
        <is>
          <t>MARCO SUPLEMENTARIO (GUIA EXTRA) 45</t>
        </is>
      </c>
      <c r="C110" s="3" t="n">
        <v>6200</v>
      </c>
      <c r="D110" s="3" t="n"/>
      <c r="E110" s="22">
        <f>D110*C110/1000</f>
        <v/>
      </c>
      <c r="F110" s="16">
        <f>L110/1.21</f>
        <v/>
      </c>
      <c r="G110" s="16">
        <f>M110/1.21</f>
        <v/>
      </c>
      <c r="H110" s="16">
        <f>N110/1.21</f>
        <v/>
      </c>
      <c r="I110" s="16">
        <f>F110*1.105</f>
        <v/>
      </c>
      <c r="J110" s="16">
        <f>G110*1.105</f>
        <v/>
      </c>
      <c r="K110" s="16">
        <f>H110*1.105</f>
        <v/>
      </c>
      <c r="L110" s="16" t="n">
        <v>110757.18</v>
      </c>
      <c r="M110" s="16" t="n">
        <v>105524.16</v>
      </c>
      <c r="N110" s="16" t="n">
        <v>108529.65</v>
      </c>
    </row>
    <row r="111">
      <c r="A111" s="3" t="inlineStr">
        <is>
          <t>240 420</t>
        </is>
      </c>
      <c r="B111" s="3" t="inlineStr">
        <is>
          <t>NEGRO (A) 4200"</t>
        </is>
      </c>
      <c r="C111" s="3" t="n">
        <v>4200</v>
      </c>
      <c r="D111" s="3" t="n">
        <v>1.652</v>
      </c>
      <c r="E111" s="22">
        <f>D111*C111/1000</f>
        <v/>
      </c>
      <c r="F111" s="16">
        <f>L111/1.21</f>
        <v/>
      </c>
      <c r="G111" s="16">
        <f>M111/1.21</f>
        <v/>
      </c>
      <c r="H111" s="16">
        <f>N111/1.21</f>
        <v/>
      </c>
      <c r="I111" s="16">
        <f>F111*1.105</f>
        <v/>
      </c>
      <c r="J111" s="16">
        <f>G111*1.105</f>
        <v/>
      </c>
      <c r="K111" s="16">
        <f>H111*1.105</f>
        <v/>
      </c>
      <c r="L111" s="16" t="n">
        <v>127566.45</v>
      </c>
      <c r="M111" s="16" t="n">
        <v>126790.47</v>
      </c>
      <c r="N111" s="16" t="n">
        <v>126852.31</v>
      </c>
    </row>
    <row r="112">
      <c r="A112" s="3" t="inlineStr">
        <is>
          <t>25x50</t>
        </is>
      </c>
      <c r="B112" s="3" t="inlineStr">
        <is>
          <t>TUBO 25X50 2mme</t>
        </is>
      </c>
      <c r="C112" s="3" t="n">
        <v>6000</v>
      </c>
      <c r="D112" s="3" t="n"/>
      <c r="E112" s="22">
        <f>D112*C112/1000</f>
        <v/>
      </c>
      <c r="F112" s="16">
        <f>L112/1.21</f>
        <v/>
      </c>
      <c r="G112" s="16">
        <f>M112/1.21</f>
        <v/>
      </c>
      <c r="H112" s="16">
        <f>N112/1.21</f>
        <v/>
      </c>
      <c r="I112" s="16">
        <f>F112*1.105</f>
        <v/>
      </c>
      <c r="J112" s="16">
        <f>G112*1.105</f>
        <v/>
      </c>
      <c r="K112" s="16">
        <f>H112*1.105</f>
        <v/>
      </c>
      <c r="L112" s="16" t="n">
        <v>62112.34</v>
      </c>
      <c r="M112" s="16" t="n">
        <v>66542.55</v>
      </c>
      <c r="N112" s="16" t="n">
        <v>109791.94</v>
      </c>
    </row>
    <row r="113">
      <c r="A113" s="3" t="inlineStr">
        <is>
          <t xml:space="preserve">50X50 </t>
        </is>
      </c>
      <c r="B113" s="3" t="inlineStr">
        <is>
          <t>TUBO 50X50 2mme</t>
        </is>
      </c>
      <c r="C113" s="3" t="n">
        <v>6000</v>
      </c>
      <c r="D113" s="3" t="n"/>
      <c r="E113" s="22">
        <f>D113*C113/1000</f>
        <v/>
      </c>
      <c r="F113" s="16">
        <f>L113/1.21</f>
        <v/>
      </c>
      <c r="G113" s="16">
        <f>M113/1.21</f>
        <v/>
      </c>
      <c r="H113" s="16">
        <f>N113/1.21</f>
        <v/>
      </c>
      <c r="I113" s="16">
        <f>F113*1.105</f>
        <v/>
      </c>
      <c r="J113" s="16">
        <f>G113*1.105</f>
        <v/>
      </c>
      <c r="K113" s="16">
        <f>H113*1.105</f>
        <v/>
      </c>
      <c r="L113" s="16" t="n">
        <v>103670.82</v>
      </c>
      <c r="M113" s="16" t="n">
        <v>96978.50999999999</v>
      </c>
      <c r="N113" s="16" t="n">
        <v>121049.22</v>
      </c>
    </row>
    <row r="114">
      <c r="A114" s="3" t="inlineStr">
        <is>
          <t>A</t>
        </is>
      </c>
      <c r="B114" s="3" t="n"/>
      <c r="C114" s="3" t="n">
        <v>6000</v>
      </c>
      <c r="D114" s="3" t="n"/>
      <c r="E114" s="22">
        <f>D114*C114/1000</f>
        <v/>
      </c>
      <c r="F114" s="16">
        <f>L114/1.21</f>
        <v/>
      </c>
      <c r="G114" s="16">
        <f>M114/1.21</f>
        <v/>
      </c>
      <c r="H114" s="16">
        <f>N114/1.21</f>
        <v/>
      </c>
      <c r="I114" s="16">
        <f>F114*1.105</f>
        <v/>
      </c>
      <c r="J114" s="16">
        <f>G114*1.105</f>
        <v/>
      </c>
      <c r="K114" s="16">
        <f>H114*1.105</f>
        <v/>
      </c>
      <c r="L114" s="16" t="n">
        <v>72853.13</v>
      </c>
      <c r="M114" s="16" t="n">
        <v>72853.13</v>
      </c>
      <c r="N114" s="16" t="n">
        <v>72853.13</v>
      </c>
    </row>
    <row r="115">
      <c r="A115" s="3" t="inlineStr">
        <is>
          <t>A20x20</t>
        </is>
      </c>
      <c r="B115" s="3" t="inlineStr">
        <is>
          <t xml:space="preserve">ANGUO 20X20 </t>
        </is>
      </c>
      <c r="C115" s="3" t="n">
        <v>6030</v>
      </c>
      <c r="D115" s="3" t="n"/>
      <c r="E115" s="22">
        <f>D115*C115/1000</f>
        <v/>
      </c>
      <c r="F115" s="16">
        <f>L115/1.21</f>
        <v/>
      </c>
      <c r="G115" s="16">
        <f>M115/1.21</f>
        <v/>
      </c>
      <c r="H115" s="16">
        <f>N115/1.21</f>
        <v/>
      </c>
      <c r="I115" s="3">
        <f>F115*1.105</f>
        <v/>
      </c>
      <c r="J115" s="16">
        <f>G115*1.105</f>
        <v/>
      </c>
      <c r="K115" s="3">
        <f>H115*1.105</f>
        <v/>
      </c>
      <c r="L115" s="16" t="n"/>
      <c r="M115" s="16" t="n"/>
      <c r="N115" s="16" t="n">
        <v>23452</v>
      </c>
    </row>
    <row r="116">
      <c r="A116" s="3" t="inlineStr">
        <is>
          <t>U1119</t>
        </is>
      </c>
      <c r="B116" s="3" t="inlineStr">
        <is>
          <t>PERFIL U HASTA 6MM</t>
        </is>
      </c>
      <c r="C116" s="3" t="n">
        <v>6030</v>
      </c>
      <c r="D116" s="3" t="n"/>
      <c r="E116" s="22">
        <f>D116*C116/1000</f>
        <v/>
      </c>
      <c r="F116" s="16">
        <f>L116/1.21</f>
        <v/>
      </c>
      <c r="G116" s="16">
        <f>M116/1.21</f>
        <v/>
      </c>
      <c r="H116" s="16">
        <f>N116/1.21</f>
        <v/>
      </c>
      <c r="I116" s="16">
        <f>F116*1.105</f>
        <v/>
      </c>
      <c r="J116" s="16">
        <f>G116*1.105</f>
        <v/>
      </c>
      <c r="K116" s="16">
        <f>H116*1.105</f>
        <v/>
      </c>
      <c r="L116" s="16" t="n">
        <v>23707.14</v>
      </c>
      <c r="M116" s="16" t="n">
        <v>21396.76</v>
      </c>
      <c r="N116" s="16" t="n">
        <v>22440.46</v>
      </c>
    </row>
    <row r="117">
      <c r="A117" s="3" t="inlineStr">
        <is>
          <t>U1525</t>
        </is>
      </c>
      <c r="B117" s="3" t="inlineStr">
        <is>
          <t>PERFIL U HASTA 10MM</t>
        </is>
      </c>
      <c r="C117" s="3" t="n">
        <v>6030</v>
      </c>
      <c r="D117" s="3" t="n"/>
      <c r="E117" s="22">
        <f>D117*C117/1000</f>
        <v/>
      </c>
      <c r="F117" s="16">
        <f>L117/1.21</f>
        <v/>
      </c>
      <c r="G117" s="16">
        <f>M117/1.21</f>
        <v/>
      </c>
      <c r="H117" s="16">
        <f>N117/1.21</f>
        <v/>
      </c>
      <c r="I117" s="16">
        <f>F117*1.105</f>
        <v/>
      </c>
      <c r="J117" s="16">
        <f>G117*1.105</f>
        <v/>
      </c>
      <c r="K117" s="16">
        <f>H117*1.105</f>
        <v/>
      </c>
      <c r="L117" s="16" t="n">
        <v>30588.25</v>
      </c>
      <c r="M117" s="16" t="n">
        <v>28227.16</v>
      </c>
      <c r="N117" s="16" t="n">
        <v>29722.73</v>
      </c>
    </row>
    <row r="118">
      <c r="A118" s="3" t="inlineStr">
        <is>
          <t>U1540</t>
        </is>
      </c>
      <c r="B118" s="3" t="inlineStr">
        <is>
          <t>PERFIL U 1540 GRANDE</t>
        </is>
      </c>
      <c r="C118" s="3" t="n">
        <v>6030</v>
      </c>
      <c r="D118" s="3" t="n"/>
      <c r="E118" s="22">
        <f>D118*C118/1000</f>
        <v/>
      </c>
      <c r="F118" s="16">
        <f>L118/1.21</f>
        <v/>
      </c>
      <c r="G118" s="16">
        <f>M118/1.21</f>
        <v/>
      </c>
      <c r="H118" s="16">
        <f>N118/1.21</f>
        <v/>
      </c>
      <c r="I118" s="16">
        <f>F118*1.105</f>
        <v/>
      </c>
      <c r="J118" s="16">
        <f>G118*1.105</f>
        <v/>
      </c>
      <c r="K118" s="3">
        <f>H118*1.105</f>
        <v/>
      </c>
      <c r="L118" s="16" t="n">
        <v>49034.46</v>
      </c>
      <c r="M118" s="16" t="n"/>
      <c r="N118" s="16" t="n">
        <v>38357.28</v>
      </c>
    </row>
    <row r="119">
      <c r="A119" s="3" t="inlineStr">
        <is>
          <t>Planchuela</t>
        </is>
      </c>
      <c r="B119" s="3" t="inlineStr">
        <is>
          <t>Planchuela aluminio VR</t>
        </is>
      </c>
      <c r="C119" s="3" t="n">
        <v>6030</v>
      </c>
      <c r="D119" s="3" t="n"/>
      <c r="E119" s="22">
        <f>D119*C119/1000</f>
        <v/>
      </c>
      <c r="F119" s="16">
        <f>L119/1.21</f>
        <v/>
      </c>
      <c r="G119" s="16">
        <f>M119/1.21</f>
        <v/>
      </c>
      <c r="H119" s="16">
        <f>N119/1.21</f>
        <v/>
      </c>
      <c r="I119" s="3">
        <f>F119*1.105</f>
        <v/>
      </c>
      <c r="J119" s="16">
        <f>G119*1.105</f>
        <v/>
      </c>
      <c r="K119" s="3">
        <f>H119*1.105</f>
        <v/>
      </c>
      <c r="L119" s="16" t="n"/>
      <c r="M119" s="16" t="n"/>
      <c r="N119" s="16" t="n">
        <v>20800</v>
      </c>
    </row>
    <row r="120">
      <c r="A120" s="3" t="n"/>
      <c r="B120" s="3" t="n"/>
      <c r="C120" s="3" t="n"/>
      <c r="D120" s="3" t="n"/>
      <c r="E120" s="3" t="n"/>
      <c r="F120" s="3" t="n"/>
      <c r="G120" s="3" t="n"/>
      <c r="H120" s="3" t="n"/>
      <c r="I120" s="3" t="n"/>
      <c r="J120" s="3" t="n"/>
      <c r="K120" s="3" t="n"/>
      <c r="L120" s="3" t="n"/>
      <c r="M120" s="3" t="n"/>
      <c r="N120" s="3" t="n"/>
    </row>
    <row r="121">
      <c r="A121" s="3" t="n"/>
      <c r="B121" s="3" t="n"/>
      <c r="C121" s="3" t="n"/>
      <c r="D121" s="3" t="n"/>
      <c r="E121" s="3" t="n"/>
      <c r="F121" s="3" t="n"/>
      <c r="G121" s="3" t="n"/>
      <c r="H121" s="3" t="n"/>
      <c r="I121" s="3" t="n"/>
      <c r="J121" s="3" t="n"/>
      <c r="K121" s="3" t="n"/>
      <c r="L121" s="3" t="n"/>
      <c r="M121" s="3" t="n"/>
      <c r="N121" s="3" t="n"/>
    </row>
    <row r="122">
      <c r="A122" s="3" t="n"/>
      <c r="B122" s="3" t="n"/>
      <c r="C122" s="3" t="n"/>
      <c r="D122" s="3" t="n"/>
      <c r="E122" s="3" t="n"/>
      <c r="F122" s="3" t="n"/>
      <c r="G122" s="3" t="n"/>
      <c r="H122" s="3" t="n"/>
      <c r="I122" s="3" t="n"/>
      <c r="J122" s="3" t="n"/>
      <c r="K122" s="3" t="n"/>
      <c r="L122" s="3" t="n"/>
      <c r="M122" s="3" t="n"/>
      <c r="N122" s="3" t="n"/>
    </row>
    <row r="123">
      <c r="A123" s="3" t="n"/>
      <c r="B123" s="3" t="n"/>
      <c r="C123" s="3" t="n"/>
      <c r="D123" s="3" t="n"/>
      <c r="E123" s="3" t="n"/>
      <c r="F123" s="3" t="n"/>
      <c r="G123" s="3" t="n"/>
      <c r="H123" s="3" t="n"/>
      <c r="I123" s="3" t="n"/>
      <c r="J123" s="3" t="n"/>
      <c r="K123" s="3" t="n"/>
      <c r="L123" s="3" t="n"/>
      <c r="M123" s="3" t="n"/>
      <c r="N123" s="3" t="n"/>
    </row>
    <row r="124">
      <c r="A124" s="3" t="n"/>
      <c r="B124" s="3" t="n"/>
      <c r="C124" s="3" t="n"/>
      <c r="D124" s="3" t="n"/>
      <c r="E124" s="3" t="n"/>
      <c r="F124" s="3" t="n"/>
      <c r="G124" s="3" t="n"/>
      <c r="H124" s="3" t="n"/>
      <c r="I124" s="3" t="n"/>
      <c r="J124" s="3" t="n"/>
      <c r="K124" s="3" t="n"/>
      <c r="L124" s="3" t="n"/>
      <c r="M124" s="3" t="n"/>
      <c r="N124" s="3" t="n"/>
    </row>
    <row r="125">
      <c r="A125" s="3" t="n"/>
      <c r="B125" s="3" t="n"/>
      <c r="C125" s="3" t="n"/>
      <c r="D125" s="3" t="n"/>
      <c r="E125" s="3" t="n"/>
      <c r="F125" s="3" t="n"/>
      <c r="G125" s="3" t="n"/>
      <c r="H125" s="3" t="n"/>
      <c r="I125" s="3" t="n"/>
      <c r="J125" s="3" t="n"/>
      <c r="K125" s="3" t="n"/>
      <c r="L125" s="3" t="n"/>
      <c r="M125" s="3" t="n"/>
      <c r="N125" s="3" t="n"/>
    </row>
    <row r="126">
      <c r="A126" s="3" t="n"/>
      <c r="B126" s="3" t="n"/>
      <c r="C126" s="3" t="n"/>
      <c r="D126" s="3" t="n"/>
      <c r="E126" s="3" t="n"/>
      <c r="F126" s="3" t="n"/>
      <c r="G126" s="3" t="n"/>
      <c r="H126" s="3" t="n"/>
      <c r="I126" s="3" t="n"/>
      <c r="J126" s="3" t="n"/>
      <c r="K126" s="3" t="n"/>
      <c r="L126" s="3" t="n"/>
      <c r="M126" s="3" t="n"/>
      <c r="N126" s="3" t="n"/>
    </row>
    <row r="127">
      <c r="A127" s="3" t="n"/>
      <c r="B127" s="3" t="n"/>
      <c r="C127" s="3" t="n"/>
      <c r="D127" s="3" t="n"/>
      <c r="E127" s="3" t="n"/>
      <c r="F127" s="3" t="n"/>
      <c r="G127" s="3" t="n"/>
      <c r="H127" s="3" t="n"/>
      <c r="I127" s="3" t="n"/>
      <c r="J127" s="3" t="n"/>
      <c r="K127" s="3" t="n"/>
      <c r="L127" s="3" t="n"/>
      <c r="M127" s="3" t="n"/>
      <c r="N127" s="3" t="n"/>
    </row>
    <row r="128">
      <c r="A128" s="3" t="n"/>
      <c r="B128" s="3" t="n"/>
      <c r="C128" s="3" t="n"/>
      <c r="D128" s="3" t="n"/>
      <c r="E128" s="3" t="n"/>
      <c r="F128" s="3" t="n"/>
      <c r="G128" s="3" t="n"/>
      <c r="H128" s="3" t="n"/>
      <c r="I128" s="3" t="n"/>
      <c r="J128" s="3" t="n"/>
      <c r="K128" s="3" t="n"/>
      <c r="L128" s="3" t="n"/>
      <c r="M128" s="3" t="n"/>
      <c r="N128" s="3" t="n"/>
    </row>
    <row r="129">
      <c r="A129" s="3" t="n"/>
      <c r="B129" s="3" t="n"/>
      <c r="C129" s="3" t="n"/>
      <c r="D129" s="3" t="n"/>
      <c r="E129" s="3" t="n"/>
      <c r="F129" s="3" t="n"/>
      <c r="G129" s="3" t="n"/>
      <c r="H129" s="3" t="n"/>
      <c r="I129" s="3" t="n"/>
      <c r="J129" s="3" t="n"/>
      <c r="K129" s="3" t="n"/>
      <c r="L129" s="3" t="n"/>
      <c r="M129" s="3" t="n"/>
      <c r="N129" s="3" t="n"/>
    </row>
    <row r="130">
      <c r="A130" s="3" t="n"/>
      <c r="B130" s="3" t="n"/>
      <c r="C130" s="3" t="n"/>
      <c r="D130" s="3" t="n"/>
      <c r="E130" s="3" t="n"/>
      <c r="F130" s="3" t="n"/>
      <c r="G130" s="3" t="n"/>
      <c r="H130" s="3" t="n"/>
      <c r="I130" s="3" t="n"/>
      <c r="J130" s="3" t="n"/>
      <c r="K130" s="3" t="n"/>
      <c r="L130" s="3" t="n"/>
      <c r="M130" s="3" t="n"/>
      <c r="N130" s="3" t="n"/>
    </row>
    <row r="131">
      <c r="A131" s="3" t="n"/>
      <c r="B131" s="3" t="n"/>
      <c r="C131" s="3" t="n"/>
      <c r="D131" s="3" t="n"/>
      <c r="E131" s="3" t="n"/>
      <c r="F131" s="3" t="n"/>
      <c r="G131" s="3" t="n"/>
      <c r="H131" s="3" t="n"/>
      <c r="I131" s="3" t="n"/>
      <c r="J131" s="3" t="n"/>
      <c r="K131" s="3" t="n"/>
      <c r="L131" s="3" t="n"/>
      <c r="M131" s="3" t="n"/>
      <c r="N131" s="3" t="n"/>
    </row>
    <row r="132">
      <c r="A132" s="3" t="n"/>
      <c r="B132" s="3" t="n"/>
      <c r="C132" s="3" t="n"/>
      <c r="D132" s="3" t="n"/>
      <c r="E132" s="3" t="n"/>
      <c r="F132" s="3" t="n"/>
      <c r="G132" s="3" t="n"/>
      <c r="H132" s="3" t="n"/>
      <c r="I132" s="3" t="n"/>
      <c r="J132" s="3" t="n"/>
      <c r="K132" s="3" t="n"/>
      <c r="L132" s="3" t="n"/>
      <c r="M132" s="3" t="n"/>
      <c r="N132" s="3" t="n"/>
    </row>
    <row r="133">
      <c r="A133" s="3" t="n"/>
      <c r="B133" s="3" t="n"/>
      <c r="C133" s="3" t="n"/>
      <c r="D133" s="3" t="n"/>
      <c r="E133" s="3" t="n"/>
      <c r="F133" s="3" t="n"/>
      <c r="G133" s="3" t="n"/>
      <c r="H133" s="3" t="n"/>
      <c r="I133" s="3" t="n"/>
      <c r="J133" s="3" t="n"/>
      <c r="K133" s="3" t="n"/>
      <c r="L133" s="3" t="n"/>
      <c r="M133" s="3" t="n"/>
      <c r="N133" s="3" t="n"/>
    </row>
    <row r="134">
      <c r="A134" s="3" t="n"/>
      <c r="B134" s="3" t="n"/>
      <c r="C134" s="3" t="n"/>
      <c r="D134" s="3" t="n"/>
      <c r="E134" s="3" t="n"/>
      <c r="F134" s="3" t="n"/>
      <c r="G134" s="3" t="n"/>
      <c r="H134" s="3" t="n"/>
      <c r="I134" s="3" t="n"/>
      <c r="J134" s="3" t="n"/>
      <c r="K134" s="3" t="n"/>
      <c r="L134" s="3" t="n"/>
      <c r="M134" s="3" t="n"/>
      <c r="N134" s="3" t="n"/>
    </row>
    <row r="135">
      <c r="A135" s="3" t="n"/>
      <c r="B135" s="3" t="n"/>
      <c r="C135" s="3" t="n"/>
      <c r="D135" s="3" t="n"/>
      <c r="E135" s="3" t="n"/>
      <c r="F135" s="3" t="n"/>
      <c r="G135" s="3" t="n"/>
      <c r="H135" s="3" t="n"/>
      <c r="I135" s="3" t="n"/>
      <c r="J135" s="3" t="n"/>
      <c r="K135" s="3" t="n"/>
      <c r="L135" s="3" t="n"/>
      <c r="M135" s="3" t="n"/>
      <c r="N135" s="3" t="n"/>
    </row>
    <row r="136">
      <c r="A136" s="3" t="n"/>
      <c r="B136" s="3" t="n"/>
      <c r="C136" s="3" t="n"/>
      <c r="D136" s="3" t="n"/>
      <c r="E136" s="3" t="n"/>
      <c r="F136" s="3" t="n"/>
      <c r="G136" s="3" t="n"/>
      <c r="H136" s="3" t="n"/>
      <c r="I136" s="3" t="n"/>
      <c r="J136" s="3" t="n"/>
      <c r="K136" s="3" t="n"/>
      <c r="L136" s="3" t="n"/>
      <c r="M136" s="3" t="n"/>
      <c r="N136" s="3" t="n"/>
    </row>
    <row r="137">
      <c r="A137" s="3" t="n"/>
      <c r="B137" s="3" t="n"/>
      <c r="C137" s="3" t="n"/>
      <c r="D137" s="3" t="n"/>
      <c r="E137" s="3" t="n"/>
      <c r="F137" s="3" t="n"/>
      <c r="G137" s="3" t="n"/>
      <c r="H137" s="3" t="n"/>
      <c r="I137" s="3" t="n"/>
      <c r="J137" s="3" t="n"/>
      <c r="K137" s="3" t="n"/>
      <c r="L137" s="3" t="n"/>
      <c r="M137" s="3" t="n"/>
      <c r="N137" s="3" t="n"/>
    </row>
    <row r="138">
      <c r="A138" s="3" t="n"/>
      <c r="B138" s="3" t="n"/>
      <c r="C138" s="3" t="n"/>
      <c r="D138" s="3" t="n"/>
      <c r="E138" s="3" t="n"/>
      <c r="F138" s="3" t="n"/>
      <c r="G138" s="3" t="n"/>
      <c r="H138" s="3" t="n"/>
      <c r="I138" s="3" t="n"/>
      <c r="J138" s="3" t="n"/>
      <c r="K138" s="3" t="n"/>
      <c r="L138" s="3" t="n"/>
      <c r="M138" s="3" t="n"/>
      <c r="N138" s="3" t="n"/>
    </row>
    <row r="139">
      <c r="A139" s="3" t="n"/>
      <c r="B139" s="3" t="n"/>
      <c r="C139" s="3" t="n"/>
      <c r="D139" s="3" t="n"/>
      <c r="E139" s="3" t="n"/>
      <c r="F139" s="3" t="n"/>
      <c r="G139" s="3" t="n"/>
      <c r="H139" s="3" t="n"/>
      <c r="I139" s="3" t="n"/>
      <c r="J139" s="3" t="n"/>
      <c r="K139" s="3" t="n"/>
      <c r="L139" s="3" t="n"/>
      <c r="M139" s="3" t="n"/>
      <c r="N139" s="3" t="n"/>
    </row>
    <row r="140">
      <c r="A140" s="3" t="n"/>
      <c r="B140" s="3" t="n"/>
      <c r="C140" s="3" t="n"/>
      <c r="D140" s="3" t="n"/>
      <c r="E140" s="3" t="n"/>
      <c r="F140" s="3" t="n"/>
      <c r="G140" s="3" t="n"/>
      <c r="H140" s="3" t="n"/>
      <c r="I140" s="3" t="n"/>
      <c r="J140" s="3" t="n"/>
      <c r="K140" s="3" t="n"/>
      <c r="L140" s="3" t="n"/>
      <c r="M140" s="3" t="n"/>
      <c r="N140" s="3" t="n"/>
    </row>
    <row r="141">
      <c r="A141" s="3" t="n"/>
      <c r="B141" s="3" t="n"/>
      <c r="C141" s="3" t="n"/>
      <c r="D141" s="3" t="n"/>
      <c r="E141" s="3" t="n"/>
      <c r="F141" s="3" t="n"/>
      <c r="G141" s="3" t="n"/>
      <c r="H141" s="3" t="n"/>
      <c r="I141" s="3" t="n"/>
      <c r="J141" s="3" t="n"/>
      <c r="K141" s="3" t="n"/>
      <c r="L141" s="3" t="n"/>
      <c r="M141" s="3" t="n"/>
      <c r="N141" s="3" t="n"/>
    </row>
    <row r="142">
      <c r="A142" s="3" t="n"/>
      <c r="B142" s="3" t="n"/>
      <c r="C142" s="3" t="n"/>
      <c r="D142" s="3" t="n"/>
      <c r="E142" s="3" t="n"/>
      <c r="F142" s="3" t="n"/>
      <c r="G142" s="3" t="n"/>
      <c r="H142" s="3" t="n"/>
      <c r="I142" s="3" t="n"/>
      <c r="J142" s="3" t="n"/>
      <c r="K142" s="3" t="n"/>
      <c r="L142" s="3" t="n"/>
      <c r="M142" s="3" t="n"/>
      <c r="N142" s="3" t="n"/>
    </row>
    <row r="143">
      <c r="A143" s="3" t="n"/>
      <c r="B143" s="3" t="n"/>
      <c r="C143" s="3" t="n"/>
      <c r="D143" s="3" t="n"/>
      <c r="E143" s="3" t="n"/>
      <c r="F143" s="3" t="n"/>
      <c r="G143" s="3" t="n"/>
      <c r="H143" s="3" t="n"/>
      <c r="I143" s="3" t="n"/>
      <c r="J143" s="3" t="n"/>
      <c r="K143" s="3" t="n"/>
      <c r="L143" s="3" t="n"/>
      <c r="M143" s="3" t="n"/>
      <c r="N143" s="3" t="n"/>
    </row>
    <row r="144">
      <c r="A144" s="3" t="n"/>
      <c r="B144" s="3" t="n"/>
      <c r="C144" s="3" t="n"/>
      <c r="D144" s="3" t="n"/>
      <c r="E144" s="3" t="n"/>
      <c r="F144" s="3" t="n"/>
      <c r="G144" s="3" t="n"/>
      <c r="H144" s="3" t="n"/>
      <c r="I144" s="3" t="n"/>
      <c r="J144" s="3" t="n"/>
      <c r="K144" s="3" t="n"/>
      <c r="L144" s="3" t="n"/>
      <c r="M144" s="3" t="n"/>
      <c r="N144" s="3" t="n"/>
    </row>
    <row r="145">
      <c r="A145" s="3" t="n"/>
      <c r="B145" s="3" t="n"/>
      <c r="C145" s="3" t="n"/>
      <c r="D145" s="3" t="n"/>
      <c r="E145" s="3" t="n"/>
      <c r="F145" s="3" t="n"/>
      <c r="G145" s="3" t="n"/>
      <c r="H145" s="3" t="n"/>
      <c r="I145" s="3" t="n"/>
      <c r="J145" s="3" t="n"/>
      <c r="K145" s="3" t="n"/>
      <c r="L145" s="3" t="n"/>
      <c r="M145" s="3" t="n"/>
      <c r="N145" s="3" t="n"/>
    </row>
    <row r="146">
      <c r="A146" s="3" t="n"/>
      <c r="B146" s="3" t="n"/>
      <c r="C146" s="3" t="n"/>
      <c r="D146" s="3" t="n"/>
      <c r="E146" s="3" t="n"/>
      <c r="F146" s="3" t="n"/>
      <c r="G146" s="3" t="n"/>
      <c r="H146" s="3" t="n"/>
      <c r="I146" s="3" t="n"/>
      <c r="J146" s="3" t="n"/>
      <c r="K146" s="3" t="n"/>
      <c r="L146" s="3" t="n"/>
      <c r="M146" s="3" t="n"/>
      <c r="N146" s="3" t="n"/>
    </row>
    <row r="147">
      <c r="A147" s="3" t="n"/>
      <c r="B147" s="3" t="n"/>
      <c r="C147" s="3" t="n"/>
      <c r="D147" s="3" t="n"/>
      <c r="E147" s="3" t="n"/>
      <c r="F147" s="3" t="n"/>
      <c r="G147" s="3" t="n"/>
      <c r="H147" s="3" t="n"/>
      <c r="I147" s="3" t="n"/>
      <c r="J147" s="3" t="n"/>
      <c r="K147" s="3" t="n"/>
      <c r="L147" s="3" t="n"/>
      <c r="M147" s="3" t="n"/>
      <c r="N147" s="3" t="n"/>
    </row>
    <row r="148">
      <c r="A148" s="3" t="n"/>
      <c r="B148" s="3" t="n"/>
      <c r="C148" s="3" t="n"/>
      <c r="D148" s="3" t="n"/>
      <c r="E148" s="3" t="n"/>
      <c r="F148" s="3" t="n"/>
      <c r="G148" s="3" t="n"/>
      <c r="H148" s="3" t="n"/>
      <c r="I148" s="3" t="n"/>
      <c r="J148" s="3" t="n"/>
      <c r="K148" s="3" t="n"/>
      <c r="L148" s="3" t="n"/>
      <c r="M148" s="3" t="n"/>
      <c r="N148" s="3" t="n"/>
    </row>
    <row r="149">
      <c r="A149" s="3" t="n"/>
      <c r="B149" s="3" t="n"/>
      <c r="C149" s="3" t="n"/>
      <c r="D149" s="3" t="n"/>
      <c r="E149" s="3" t="n"/>
      <c r="F149" s="3" t="n"/>
      <c r="G149" s="3" t="n"/>
      <c r="H149" s="3" t="n"/>
      <c r="I149" s="3" t="n"/>
      <c r="J149" s="3" t="n"/>
      <c r="K149" s="3" t="n"/>
      <c r="L149" s="3" t="n"/>
      <c r="M149" s="3" t="n"/>
      <c r="N149" s="3" t="n"/>
    </row>
    <row r="150">
      <c r="A150" s="3" t="n"/>
      <c r="B150" s="3" t="n"/>
      <c r="C150" s="3" t="n"/>
      <c r="D150" s="3" t="n"/>
      <c r="E150" s="3" t="n"/>
      <c r="F150" s="3" t="n"/>
      <c r="G150" s="3" t="n"/>
      <c r="H150" s="3" t="n"/>
      <c r="I150" s="3" t="n"/>
      <c r="J150" s="3" t="n"/>
      <c r="K150" s="3" t="n"/>
      <c r="L150" s="3" t="n"/>
      <c r="M150" s="3" t="n"/>
      <c r="N150" s="3" t="n"/>
    </row>
    <row r="151">
      <c r="A151" s="3" t="n"/>
      <c r="B151" s="3" t="n"/>
      <c r="C151" s="3" t="n"/>
      <c r="D151" s="3" t="n"/>
      <c r="E151" s="3" t="n"/>
      <c r="F151" s="3" t="n"/>
      <c r="G151" s="3" t="n"/>
      <c r="H151" s="3" t="n"/>
      <c r="I151" s="3" t="n"/>
      <c r="J151" s="3" t="n"/>
      <c r="K151" s="3" t="n"/>
      <c r="L151" s="3" t="n"/>
      <c r="M151" s="3" t="n"/>
      <c r="N151" s="3" t="n"/>
    </row>
    <row r="152">
      <c r="A152" s="3" t="n"/>
      <c r="B152" s="3" t="n"/>
      <c r="C152" s="3" t="n"/>
      <c r="D152" s="3" t="n"/>
      <c r="E152" s="3" t="n"/>
      <c r="F152" s="3" t="n"/>
      <c r="G152" s="3" t="n"/>
      <c r="H152" s="3" t="n"/>
      <c r="I152" s="3" t="n"/>
      <c r="J152" s="3" t="n"/>
      <c r="K152" s="3" t="n"/>
      <c r="L152" s="3" t="n"/>
      <c r="M152" s="3" t="n"/>
      <c r="N152" s="3" t="n"/>
    </row>
    <row r="153">
      <c r="A153" s="3" t="n"/>
      <c r="B153" s="3" t="n"/>
      <c r="C153" s="3" t="n"/>
      <c r="D153" s="3" t="n"/>
      <c r="E153" s="3" t="n"/>
      <c r="F153" s="3" t="n"/>
      <c r="G153" s="3" t="n"/>
      <c r="H153" s="3" t="n"/>
      <c r="I153" s="3" t="n"/>
      <c r="J153" s="3" t="n"/>
      <c r="K153" s="3" t="n"/>
      <c r="L153" s="3" t="n"/>
      <c r="M153" s="3" t="n"/>
      <c r="N153" s="3" t="n"/>
    </row>
    <row r="154">
      <c r="A154" s="3" t="n"/>
      <c r="B154" s="3" t="n"/>
      <c r="C154" s="3" t="n"/>
      <c r="D154" s="3" t="n"/>
      <c r="E154" s="3" t="n"/>
      <c r="F154" s="3" t="n"/>
      <c r="G154" s="3" t="n"/>
      <c r="H154" s="3" t="n"/>
      <c r="I154" s="3" t="n"/>
      <c r="J154" s="3" t="n"/>
      <c r="K154" s="3" t="n"/>
      <c r="L154" s="3" t="n"/>
      <c r="M154" s="3" t="n"/>
      <c r="N154" s="3" t="n"/>
    </row>
    <row r="155">
      <c r="A155" s="3" t="n"/>
      <c r="B155" s="3" t="n"/>
      <c r="C155" s="3" t="n"/>
      <c r="D155" s="3" t="n"/>
      <c r="E155" s="3" t="n"/>
      <c r="F155" s="3" t="n"/>
      <c r="G155" s="3" t="n"/>
      <c r="H155" s="3" t="n"/>
      <c r="I155" s="3" t="n"/>
      <c r="J155" s="3" t="n"/>
      <c r="K155" s="3" t="n"/>
      <c r="L155" s="3" t="n"/>
      <c r="M155" s="3" t="n"/>
      <c r="N155" s="3" t="n"/>
    </row>
    <row r="156">
      <c r="A156" s="3" t="n"/>
      <c r="B156" s="3" t="n"/>
      <c r="C156" s="3" t="n"/>
      <c r="D156" s="3" t="n"/>
      <c r="E156" s="3" t="n"/>
      <c r="F156" s="3" t="n"/>
      <c r="G156" s="3" t="n"/>
      <c r="H156" s="3" t="n"/>
      <c r="I156" s="3" t="n"/>
      <c r="J156" s="3" t="n"/>
      <c r="K156" s="3" t="n"/>
      <c r="L156" s="3" t="n"/>
      <c r="M156" s="3" t="n"/>
      <c r="N156" s="3" t="n"/>
    </row>
    <row r="157">
      <c r="A157" s="3" t="n"/>
      <c r="B157" s="3" t="n"/>
      <c r="C157" s="3" t="n"/>
      <c r="D157" s="3" t="n"/>
      <c r="E157" s="3" t="n"/>
      <c r="F157" s="3" t="n"/>
      <c r="G157" s="3" t="n"/>
      <c r="H157" s="3" t="n"/>
      <c r="I157" s="3" t="n"/>
      <c r="J157" s="3" t="n"/>
      <c r="K157" s="3" t="n"/>
      <c r="L157" s="3" t="n"/>
      <c r="M157" s="3" t="n"/>
      <c r="N157" s="3" t="n"/>
    </row>
    <row r="158">
      <c r="A158" s="3" t="n"/>
      <c r="B158" s="3" t="n"/>
      <c r="C158" s="3" t="n"/>
      <c r="D158" s="3" t="n"/>
      <c r="E158" s="3" t="n"/>
      <c r="F158" s="3" t="n"/>
      <c r="G158" s="3" t="n"/>
      <c r="H158" s="3" t="n"/>
      <c r="I158" s="3" t="n"/>
      <c r="J158" s="3" t="n"/>
      <c r="K158" s="3" t="n"/>
      <c r="L158" s="3" t="n"/>
      <c r="M158" s="3" t="n"/>
      <c r="N158" s="3" t="n"/>
    </row>
    <row r="159">
      <c r="A159" s="3" t="n"/>
      <c r="B159" s="3" t="n"/>
      <c r="C159" s="3" t="n"/>
      <c r="D159" s="3" t="n"/>
      <c r="E159" s="3" t="n"/>
      <c r="F159" s="3" t="n"/>
      <c r="G159" s="3" t="n"/>
      <c r="H159" s="3" t="n"/>
      <c r="I159" s="3" t="n"/>
      <c r="J159" s="3" t="n"/>
      <c r="K159" s="3" t="n"/>
      <c r="L159" s="3" t="n"/>
      <c r="M159" s="3" t="n"/>
      <c r="N159" s="3" t="n"/>
    </row>
    <row r="160">
      <c r="A160" s="3" t="n"/>
      <c r="B160" s="3" t="n"/>
      <c r="C160" s="3" t="n"/>
      <c r="D160" s="3" t="n"/>
      <c r="E160" s="3" t="n"/>
      <c r="F160" s="3" t="n"/>
      <c r="G160" s="3" t="n"/>
      <c r="H160" s="3" t="n"/>
      <c r="I160" s="3" t="n"/>
      <c r="J160" s="3" t="n"/>
      <c r="K160" s="3" t="n"/>
      <c r="L160" s="3" t="n"/>
      <c r="M160" s="3" t="n"/>
      <c r="N160" s="3" t="n"/>
    </row>
    <row r="161">
      <c r="A161" s="3" t="n"/>
      <c r="B161" s="3" t="n"/>
      <c r="C161" s="3" t="n"/>
      <c r="D161" s="3" t="n"/>
      <c r="E161" s="3" t="n"/>
      <c r="F161" s="3" t="n"/>
      <c r="G161" s="3" t="n"/>
      <c r="H161" s="3" t="n"/>
      <c r="I161" s="3" t="n"/>
      <c r="J161" s="3" t="n"/>
      <c r="K161" s="3" t="n"/>
      <c r="L161" s="3" t="n"/>
      <c r="M161" s="3" t="n"/>
      <c r="N161" s="3" t="n"/>
    </row>
    <row r="162">
      <c r="A162" s="3" t="n"/>
      <c r="B162" s="3" t="n"/>
      <c r="C162" s="3" t="n"/>
      <c r="D162" s="3" t="n"/>
      <c r="E162" s="3" t="n"/>
      <c r="F162" s="3" t="n"/>
      <c r="G162" s="3" t="n"/>
      <c r="H162" s="3" t="n"/>
      <c r="I162" s="3" t="n"/>
      <c r="J162" s="3" t="n"/>
      <c r="K162" s="3" t="n"/>
      <c r="L162" s="3" t="n"/>
      <c r="M162" s="3" t="n"/>
      <c r="N162" s="3" t="n"/>
    </row>
    <row r="163">
      <c r="A163" s="3" t="n"/>
      <c r="B163" s="3" t="n"/>
      <c r="C163" s="3" t="n"/>
      <c r="D163" s="3" t="n"/>
      <c r="E163" s="3" t="n"/>
      <c r="F163" s="3" t="n"/>
      <c r="G163" s="3" t="n"/>
      <c r="H163" s="3" t="n"/>
      <c r="I163" s="3" t="n"/>
      <c r="J163" s="3" t="n"/>
      <c r="K163" s="3" t="n"/>
      <c r="L163" s="3" t="n"/>
      <c r="M163" s="3" t="n"/>
      <c r="N163" s="3" t="n"/>
    </row>
    <row r="164">
      <c r="A164" s="3" t="n"/>
      <c r="B164" s="3" t="n"/>
      <c r="C164" s="3" t="n"/>
      <c r="D164" s="3" t="n"/>
      <c r="E164" s="3" t="n"/>
      <c r="F164" s="3" t="n"/>
      <c r="G164" s="3" t="n"/>
      <c r="H164" s="3" t="n"/>
      <c r="I164" s="3" t="n"/>
      <c r="J164" s="3" t="n"/>
      <c r="K164" s="3" t="n"/>
      <c r="L164" s="3" t="n"/>
      <c r="M164" s="3" t="n"/>
      <c r="N164" s="3" t="n"/>
    </row>
    <row r="165">
      <c r="A165" s="3" t="n"/>
      <c r="B165" s="3" t="n"/>
      <c r="C165" s="3" t="n"/>
      <c r="D165" s="3" t="n"/>
      <c r="E165" s="3" t="n"/>
      <c r="F165" s="3" t="n"/>
      <c r="G165" s="3" t="n"/>
      <c r="H165" s="3" t="n"/>
      <c r="I165" s="3" t="n"/>
      <c r="J165" s="3" t="n"/>
      <c r="K165" s="3" t="n"/>
      <c r="L165" s="3" t="n"/>
      <c r="M165" s="3" t="n"/>
      <c r="N165" s="3" t="n"/>
    </row>
    <row r="166">
      <c r="A166" s="3" t="n"/>
      <c r="B166" s="3" t="n"/>
      <c r="C166" s="3" t="n"/>
      <c r="D166" s="3" t="n"/>
      <c r="E166" s="3" t="n"/>
      <c r="F166" s="3" t="n"/>
      <c r="G166" s="3" t="n"/>
      <c r="H166" s="3" t="n"/>
      <c r="I166" s="3" t="n"/>
      <c r="J166" s="3" t="n"/>
      <c r="K166" s="3" t="n"/>
      <c r="L166" s="3" t="n"/>
      <c r="M166" s="3" t="n"/>
      <c r="N166" s="3" t="n"/>
    </row>
    <row r="167">
      <c r="A167" s="3" t="n"/>
      <c r="B167" s="3" t="n"/>
      <c r="C167" s="3" t="n"/>
      <c r="D167" s="3" t="n"/>
      <c r="E167" s="3" t="n"/>
      <c r="F167" s="3" t="n"/>
      <c r="G167" s="3" t="n"/>
      <c r="H167" s="3" t="n"/>
      <c r="I167" s="3" t="n"/>
      <c r="J167" s="3" t="n"/>
      <c r="K167" s="3" t="n"/>
      <c r="L167" s="3" t="n"/>
      <c r="M167" s="3" t="n"/>
      <c r="N167" s="3" t="n"/>
    </row>
    <row r="168">
      <c r="A168" s="3" t="n"/>
      <c r="B168" s="3" t="n"/>
      <c r="C168" s="3" t="n"/>
      <c r="D168" s="3" t="n"/>
      <c r="E168" s="3" t="n"/>
      <c r="F168" s="3" t="n"/>
      <c r="G168" s="3" t="n"/>
      <c r="H168" s="3" t="n"/>
      <c r="I168" s="3" t="n"/>
      <c r="J168" s="3" t="n"/>
      <c r="K168" s="3" t="n"/>
      <c r="L168" s="3" t="n"/>
      <c r="M168" s="3" t="n"/>
      <c r="N168" s="3" t="n"/>
    </row>
    <row r="169">
      <c r="A169" s="3" t="n"/>
      <c r="B169" s="3" t="n"/>
      <c r="C169" s="3" t="n"/>
      <c r="D169" s="3" t="n"/>
      <c r="E169" s="3" t="n"/>
      <c r="F169" s="3" t="n"/>
      <c r="G169" s="3" t="n"/>
      <c r="H169" s="3" t="n"/>
      <c r="I169" s="3" t="n"/>
      <c r="J169" s="3" t="n"/>
      <c r="K169" s="3" t="n"/>
      <c r="L169" s="3" t="n"/>
      <c r="M169" s="3" t="n"/>
      <c r="N169" s="3" t="n"/>
    </row>
    <row r="170">
      <c r="A170" s="3" t="n"/>
      <c r="B170" s="3" t="n"/>
      <c r="C170" s="3" t="n"/>
      <c r="D170" s="3" t="n"/>
      <c r="E170" s="3" t="n"/>
      <c r="F170" s="3" t="n"/>
      <c r="G170" s="3" t="n"/>
      <c r="H170" s="3" t="n"/>
      <c r="I170" s="3" t="n"/>
      <c r="J170" s="3" t="n"/>
      <c r="K170" s="3" t="n"/>
      <c r="L170" s="3" t="n"/>
      <c r="M170" s="3" t="n"/>
      <c r="N170" s="3" t="n"/>
    </row>
    <row r="171">
      <c r="A171" s="3" t="n"/>
      <c r="B171" s="3" t="n"/>
      <c r="C171" s="3" t="n"/>
      <c r="D171" s="3" t="n"/>
      <c r="E171" s="3" t="n"/>
      <c r="F171" s="3" t="n"/>
      <c r="G171" s="3" t="n"/>
      <c r="H171" s="3" t="n"/>
      <c r="I171" s="3" t="n"/>
      <c r="J171" s="3" t="n"/>
      <c r="K171" s="3" t="n"/>
      <c r="L171" s="3" t="n"/>
      <c r="M171" s="3" t="n"/>
      <c r="N171" s="3" t="n"/>
    </row>
    <row r="172">
      <c r="A172" s="3" t="n"/>
      <c r="B172" s="3" t="n"/>
      <c r="C172" s="3" t="n"/>
      <c r="D172" s="3" t="n"/>
      <c r="E172" s="3" t="n"/>
      <c r="F172" s="3" t="n"/>
      <c r="G172" s="3" t="n"/>
      <c r="H172" s="3" t="n"/>
      <c r="I172" s="3" t="n"/>
      <c r="J172" s="3" t="n"/>
      <c r="K172" s="3" t="n"/>
      <c r="L172" s="3" t="n"/>
      <c r="M172" s="3" t="n"/>
      <c r="N172" s="3" t="n"/>
    </row>
    <row r="173">
      <c r="A173" s="3" t="n"/>
      <c r="B173" s="3" t="n"/>
      <c r="C173" s="3" t="n"/>
      <c r="D173" s="3" t="n"/>
      <c r="E173" s="3" t="n"/>
      <c r="F173" s="3" t="n"/>
      <c r="G173" s="3" t="n"/>
      <c r="H173" s="3" t="n"/>
      <c r="I173" s="3" t="n"/>
      <c r="J173" s="3" t="n"/>
      <c r="K173" s="3" t="n"/>
      <c r="L173" s="3" t="n"/>
      <c r="M173" s="3" t="n"/>
      <c r="N173" s="3" t="n"/>
    </row>
    <row r="174">
      <c r="A174" s="3" t="n"/>
      <c r="B174" s="3" t="n"/>
      <c r="C174" s="3" t="n"/>
      <c r="D174" s="3" t="n"/>
      <c r="E174" s="3" t="n"/>
      <c r="F174" s="3" t="n"/>
      <c r="G174" s="3" t="n"/>
      <c r="H174" s="3" t="n"/>
      <c r="I174" s="3" t="n"/>
      <c r="J174" s="3" t="n"/>
      <c r="K174" s="3" t="n"/>
      <c r="L174" s="3" t="n"/>
      <c r="M174" s="3" t="n"/>
      <c r="N174" s="3" t="n"/>
    </row>
    <row r="175">
      <c r="A175" s="3" t="n"/>
      <c r="B175" s="3" t="n"/>
      <c r="C175" s="3" t="n"/>
      <c r="D175" s="3" t="n"/>
      <c r="E175" s="3" t="n"/>
      <c r="F175" s="3" t="n"/>
      <c r="G175" s="3" t="n"/>
      <c r="H175" s="3" t="n"/>
      <c r="I175" s="3" t="n"/>
      <c r="J175" s="3" t="n"/>
      <c r="K175" s="3" t="n"/>
      <c r="L175" s="3" t="n"/>
      <c r="M175" s="3" t="n"/>
      <c r="N175" s="3" t="n"/>
    </row>
    <row r="176">
      <c r="A176" s="3" t="n"/>
      <c r="B176" s="3" t="n"/>
      <c r="C176" s="3" t="n"/>
      <c r="D176" s="3" t="n"/>
      <c r="E176" s="3" t="n"/>
      <c r="F176" s="3" t="n"/>
      <c r="G176" s="3" t="n"/>
      <c r="H176" s="3" t="n"/>
      <c r="I176" s="3" t="n"/>
      <c r="J176" s="3" t="n"/>
      <c r="K176" s="3" t="n"/>
      <c r="L176" s="3" t="n"/>
      <c r="M176" s="3" t="n"/>
      <c r="N176" s="3" t="n"/>
    </row>
    <row r="177">
      <c r="A177" s="3" t="n"/>
      <c r="B177" s="3" t="n"/>
      <c r="C177" s="3" t="n"/>
      <c r="D177" s="3" t="n"/>
      <c r="E177" s="3" t="n"/>
      <c r="F177" s="3" t="n"/>
      <c r="G177" s="3" t="n"/>
      <c r="H177" s="3" t="n"/>
      <c r="I177" s="3" t="n"/>
      <c r="J177" s="3" t="n"/>
      <c r="K177" s="3" t="n"/>
      <c r="L177" s="3" t="n"/>
      <c r="M177" s="3" t="n"/>
      <c r="N177" s="3" t="n"/>
    </row>
    <row r="178">
      <c r="A178" s="3" t="n"/>
      <c r="B178" s="3" t="n"/>
      <c r="C178" s="3" t="n"/>
      <c r="D178" s="3" t="n"/>
      <c r="E178" s="3" t="n"/>
      <c r="F178" s="3" t="n"/>
      <c r="G178" s="3" t="n"/>
      <c r="H178" s="3" t="n"/>
      <c r="I178" s="3" t="n"/>
      <c r="J178" s="3" t="n"/>
      <c r="K178" s="3" t="n"/>
      <c r="L178" s="3" t="n"/>
      <c r="M178" s="3" t="n"/>
      <c r="N178" s="3" t="n"/>
    </row>
    <row r="179">
      <c r="A179" s="3" t="n"/>
      <c r="B179" s="3" t="n"/>
      <c r="C179" s="3" t="n"/>
      <c r="D179" s="3" t="n"/>
      <c r="E179" s="3" t="n"/>
      <c r="F179" s="3" t="n"/>
      <c r="G179" s="3" t="n"/>
      <c r="H179" s="3" t="n"/>
      <c r="I179" s="3" t="n"/>
      <c r="J179" s="3" t="n"/>
      <c r="K179" s="3" t="n"/>
      <c r="L179" s="3" t="n"/>
      <c r="M179" s="3" t="n"/>
      <c r="N179" s="3" t="n"/>
    </row>
    <row r="180">
      <c r="A180" s="3" t="n"/>
      <c r="B180" s="3" t="n"/>
      <c r="C180" s="3" t="n"/>
      <c r="D180" s="3" t="n"/>
      <c r="E180" s="3" t="n"/>
      <c r="F180" s="3" t="n"/>
      <c r="G180" s="3" t="n"/>
      <c r="H180" s="3" t="n"/>
      <c r="I180" s="3" t="n"/>
      <c r="J180" s="3" t="n"/>
      <c r="K180" s="3" t="n"/>
      <c r="L180" s="3" t="n"/>
      <c r="M180" s="3" t="n"/>
      <c r="N180" s="3" t="n"/>
    </row>
    <row r="181">
      <c r="A181" s="3" t="n"/>
      <c r="B181" s="3" t="n"/>
      <c r="C181" s="3" t="n"/>
      <c r="D181" s="3" t="n"/>
      <c r="E181" s="3" t="n"/>
      <c r="F181" s="3" t="n"/>
      <c r="G181" s="3" t="n"/>
      <c r="H181" s="3" t="n"/>
      <c r="I181" s="3" t="n"/>
      <c r="J181" s="3" t="n"/>
      <c r="K181" s="3" t="n"/>
      <c r="L181" s="3" t="n"/>
      <c r="M181" s="3" t="n"/>
      <c r="N181" s="3" t="n"/>
    </row>
    <row r="182">
      <c r="A182" s="3" t="n"/>
      <c r="B182" s="3" t="n"/>
      <c r="C182" s="3" t="n"/>
      <c r="D182" s="3" t="n"/>
      <c r="E182" s="3" t="n"/>
      <c r="F182" s="3" t="n"/>
      <c r="G182" s="3" t="n"/>
      <c r="H182" s="3" t="n"/>
      <c r="I182" s="3" t="n"/>
      <c r="J182" s="3" t="n"/>
      <c r="K182" s="3" t="n"/>
      <c r="L182" s="3" t="n"/>
      <c r="M182" s="3" t="n"/>
      <c r="N182" s="3" t="n"/>
    </row>
    <row r="183">
      <c r="A183" s="3" t="n"/>
      <c r="B183" s="3" t="n"/>
      <c r="C183" s="3" t="n"/>
      <c r="D183" s="3" t="n"/>
      <c r="E183" s="3" t="n"/>
      <c r="F183" s="3" t="n"/>
      <c r="G183" s="3" t="n"/>
      <c r="H183" s="3" t="n"/>
      <c r="I183" s="3" t="n"/>
      <c r="J183" s="3" t="n"/>
      <c r="K183" s="3" t="n"/>
      <c r="L183" s="3" t="n"/>
      <c r="M183" s="3" t="n"/>
      <c r="N183" s="3" t="n"/>
    </row>
    <row r="184">
      <c r="A184" s="3" t="n"/>
      <c r="B184" s="3" t="n"/>
      <c r="C184" s="3" t="n"/>
      <c r="D184" s="3" t="n"/>
      <c r="E184" s="3" t="n"/>
      <c r="F184" s="3" t="n"/>
      <c r="G184" s="3" t="n"/>
      <c r="H184" s="3" t="n"/>
      <c r="I184" s="3" t="n"/>
      <c r="J184" s="3" t="n"/>
      <c r="K184" s="3" t="n"/>
      <c r="L184" s="3" t="n"/>
      <c r="M184" s="3" t="n"/>
      <c r="N184" s="3" t="n"/>
    </row>
    <row r="185">
      <c r="A185" s="3" t="n"/>
      <c r="B185" s="3" t="n"/>
      <c r="C185" s="3" t="n"/>
      <c r="D185" s="3" t="n"/>
      <c r="E185" s="3" t="n"/>
      <c r="F185" s="3" t="n"/>
      <c r="G185" s="3" t="n"/>
      <c r="H185" s="3" t="n"/>
      <c r="I185" s="3" t="n"/>
      <c r="J185" s="3" t="n"/>
      <c r="K185" s="3" t="n"/>
      <c r="L185" s="3" t="n"/>
      <c r="M185" s="3" t="n"/>
      <c r="N185" s="3" t="n"/>
    </row>
    <row r="186">
      <c r="A186" s="3" t="n"/>
      <c r="B186" s="3" t="n"/>
      <c r="C186" s="3" t="n"/>
      <c r="D186" s="3" t="n"/>
      <c r="E186" s="3" t="n"/>
      <c r="F186" s="3" t="n"/>
      <c r="G186" s="3" t="n"/>
      <c r="H186" s="3" t="n"/>
      <c r="I186" s="3" t="n"/>
      <c r="J186" s="3" t="n"/>
      <c r="K186" s="3" t="n"/>
      <c r="L186" s="3" t="n"/>
      <c r="M186" s="3" t="n"/>
      <c r="N186" s="3" t="n"/>
    </row>
    <row r="187">
      <c r="A187" s="3" t="n"/>
      <c r="B187" s="3" t="n"/>
      <c r="C187" s="3" t="n"/>
      <c r="D187" s="3" t="n"/>
      <c r="E187" s="3" t="n"/>
      <c r="F187" s="3" t="n"/>
      <c r="G187" s="3" t="n"/>
      <c r="H187" s="3" t="n"/>
      <c r="I187" s="3" t="n"/>
      <c r="J187" s="3" t="n"/>
      <c r="K187" s="3" t="n"/>
      <c r="L187" s="3" t="n"/>
      <c r="M187" s="3" t="n"/>
      <c r="N187" s="3" t="n"/>
    </row>
    <row r="188">
      <c r="A188" s="3" t="n"/>
      <c r="B188" s="3" t="n"/>
      <c r="C188" s="3" t="n"/>
      <c r="D188" s="3" t="n"/>
      <c r="E188" s="3" t="n"/>
      <c r="F188" s="3" t="n"/>
      <c r="G188" s="3" t="n"/>
      <c r="H188" s="3" t="n"/>
      <c r="I188" s="3" t="n"/>
      <c r="J188" s="3" t="n"/>
      <c r="K188" s="3" t="n"/>
      <c r="L188" s="3" t="n"/>
      <c r="M188" s="3" t="n"/>
      <c r="N188" s="3" t="n"/>
    </row>
    <row r="189">
      <c r="A189" s="3" t="n"/>
      <c r="B189" s="3" t="n"/>
      <c r="C189" s="3" t="n"/>
      <c r="D189" s="3" t="n"/>
      <c r="E189" s="3" t="n"/>
      <c r="F189" s="3" t="n"/>
      <c r="G189" s="3" t="n"/>
      <c r="H189" s="3" t="n"/>
      <c r="I189" s="3" t="n"/>
      <c r="J189" s="3" t="n"/>
      <c r="K189" s="3" t="n"/>
      <c r="L189" s="3" t="n"/>
      <c r="M189" s="3" t="n"/>
      <c r="N189" s="3" t="n"/>
    </row>
    <row r="190">
      <c r="A190" s="3" t="n"/>
      <c r="B190" s="3" t="n"/>
      <c r="C190" s="3" t="n"/>
      <c r="D190" s="3" t="n"/>
      <c r="E190" s="3" t="n"/>
      <c r="F190" s="3" t="n"/>
      <c r="G190" s="3" t="n"/>
      <c r="H190" s="3" t="n"/>
      <c r="I190" s="3" t="n"/>
      <c r="J190" s="3" t="n"/>
      <c r="K190" s="3" t="n"/>
      <c r="L190" s="3" t="n"/>
      <c r="M190" s="3" t="n"/>
      <c r="N190" s="3" t="n"/>
    </row>
    <row r="191">
      <c r="A191" s="3" t="n"/>
      <c r="B191" s="3" t="n"/>
      <c r="C191" s="3" t="n"/>
      <c r="D191" s="3" t="n"/>
      <c r="E191" s="3" t="n"/>
      <c r="F191" s="3" t="n"/>
      <c r="G191" s="3" t="n"/>
      <c r="H191" s="3" t="n"/>
      <c r="I191" s="3" t="n"/>
      <c r="J191" s="3" t="n"/>
      <c r="K191" s="3" t="n"/>
      <c r="L191" s="3" t="n"/>
      <c r="M191" s="3" t="n"/>
      <c r="N191" s="3" t="n"/>
    </row>
    <row r="192">
      <c r="A192" s="3" t="n"/>
      <c r="B192" s="3" t="n"/>
      <c r="C192" s="3" t="n"/>
      <c r="D192" s="3" t="n"/>
      <c r="E192" s="3" t="n"/>
      <c r="F192" s="3" t="n"/>
      <c r="G192" s="3" t="n"/>
      <c r="H192" s="3" t="n"/>
      <c r="I192" s="3" t="n"/>
      <c r="J192" s="3" t="n"/>
      <c r="K192" s="3" t="n"/>
      <c r="L192" s="3" t="n"/>
      <c r="M192" s="3" t="n"/>
      <c r="N192" s="3" t="n"/>
    </row>
    <row r="193">
      <c r="A193" s="3" t="n"/>
      <c r="B193" s="3" t="n"/>
      <c r="C193" s="3" t="n"/>
      <c r="D193" s="3" t="n"/>
      <c r="E193" s="3" t="n"/>
      <c r="F193" s="3" t="n"/>
      <c r="G193" s="3" t="n"/>
      <c r="H193" s="3" t="n"/>
      <c r="I193" s="3" t="n"/>
      <c r="J193" s="3" t="n"/>
      <c r="K193" s="3" t="n"/>
      <c r="L193" s="3" t="n"/>
      <c r="M193" s="3" t="n"/>
      <c r="N193" s="3" t="n"/>
    </row>
    <row r="194">
      <c r="A194" s="3" t="n"/>
      <c r="B194" s="3" t="n"/>
      <c r="C194" s="3" t="n"/>
      <c r="D194" s="3" t="n"/>
      <c r="E194" s="3" t="n"/>
      <c r="F194" s="3" t="n"/>
      <c r="G194" s="3" t="n"/>
      <c r="H194" s="3" t="n"/>
      <c r="I194" s="3" t="n"/>
      <c r="J194" s="3" t="n"/>
      <c r="K194" s="3" t="n"/>
      <c r="L194" s="3" t="n"/>
      <c r="M194" s="3" t="n"/>
      <c r="N194" s="3" t="n"/>
    </row>
    <row r="195">
      <c r="A195" s="3" t="n"/>
      <c r="B195" s="3" t="n"/>
      <c r="C195" s="3" t="n"/>
      <c r="D195" s="3" t="n"/>
      <c r="E195" s="3" t="n"/>
      <c r="F195" s="3" t="n"/>
      <c r="G195" s="3" t="n"/>
      <c r="H195" s="3" t="n"/>
      <c r="I195" s="3" t="n"/>
      <c r="J195" s="3" t="n"/>
      <c r="K195" s="3" t="n"/>
      <c r="L195" s="3" t="n"/>
      <c r="M195" s="3" t="n"/>
      <c r="N195" s="3" t="n"/>
    </row>
    <row r="196">
      <c r="A196" s="3" t="n"/>
      <c r="B196" s="3" t="n"/>
      <c r="C196" s="3" t="n"/>
      <c r="D196" s="3" t="n"/>
      <c r="E196" s="3" t="n"/>
      <c r="F196" s="3" t="n"/>
      <c r="G196" s="3" t="n"/>
      <c r="H196" s="3" t="n"/>
      <c r="I196" s="3" t="n"/>
      <c r="J196" s="3" t="n"/>
      <c r="K196" s="3" t="n"/>
      <c r="L196" s="3" t="n"/>
      <c r="M196" s="3" t="n"/>
      <c r="N196" s="3" t="n"/>
    </row>
    <row r="197">
      <c r="A197" s="3" t="n"/>
      <c r="B197" s="3" t="n"/>
      <c r="C197" s="3" t="n"/>
      <c r="D197" s="3" t="n"/>
      <c r="E197" s="3" t="n"/>
      <c r="F197" s="3" t="n"/>
      <c r="G197" s="3" t="n"/>
      <c r="H197" s="3" t="n"/>
      <c r="I197" s="3" t="n"/>
      <c r="J197" s="3" t="n"/>
      <c r="K197" s="3" t="n"/>
      <c r="L197" s="3" t="n"/>
      <c r="M197" s="3" t="n"/>
      <c r="N197" s="3" t="n"/>
    </row>
    <row r="198">
      <c r="A198" s="3" t="n"/>
      <c r="B198" s="3" t="n"/>
      <c r="C198" s="3" t="n"/>
      <c r="D198" s="3" t="n"/>
      <c r="E198" s="3" t="n"/>
      <c r="F198" s="3" t="n"/>
      <c r="G198" s="3" t="n"/>
      <c r="H198" s="3" t="n"/>
      <c r="I198" s="3" t="n"/>
      <c r="J198" s="3" t="n"/>
      <c r="K198" s="3" t="n"/>
      <c r="L198" s="3" t="n"/>
      <c r="M198" s="3" t="n"/>
      <c r="N198" s="3" t="n"/>
    </row>
    <row r="199">
      <c r="A199" s="3" t="n"/>
      <c r="B199" s="3" t="n"/>
      <c r="C199" s="3" t="n"/>
      <c r="D199" s="3" t="n"/>
      <c r="E199" s="3" t="n"/>
      <c r="F199" s="3" t="n"/>
      <c r="G199" s="3" t="n"/>
      <c r="H199" s="3" t="n"/>
      <c r="I199" s="3" t="n"/>
      <c r="J199" s="3" t="n"/>
      <c r="K199" s="3" t="n"/>
      <c r="L199" s="3" t="n"/>
      <c r="M199" s="3" t="n"/>
      <c r="N199" s="3" t="n"/>
    </row>
    <row r="200">
      <c r="A200" s="3" t="n"/>
      <c r="B200" s="3" t="n"/>
      <c r="C200" s="3" t="n"/>
      <c r="D200" s="3" t="n"/>
      <c r="E200" s="3" t="n"/>
      <c r="F200" s="3" t="n"/>
      <c r="G200" s="3" t="n"/>
      <c r="H200" s="3" t="n"/>
      <c r="I200" s="3" t="n"/>
      <c r="J200" s="3" t="n"/>
      <c r="K200" s="3" t="n"/>
      <c r="L200" s="3" t="n"/>
      <c r="M200" s="3" t="n"/>
      <c r="N200" s="3" t="n"/>
    </row>
    <row r="201">
      <c r="A201" s="3" t="n"/>
      <c r="B201" s="3" t="n"/>
      <c r="C201" s="3" t="n"/>
      <c r="D201" s="3" t="n"/>
      <c r="E201" s="3" t="n"/>
      <c r="F201" s="3" t="n"/>
      <c r="G201" s="3" t="n"/>
      <c r="H201" s="3" t="n"/>
      <c r="I201" s="3" t="n"/>
      <c r="J201" s="3" t="n"/>
      <c r="K201" s="3" t="n"/>
      <c r="L201" s="3" t="n"/>
      <c r="M201" s="3" t="n"/>
      <c r="N201" s="3" t="n"/>
    </row>
    <row r="202">
      <c r="A202" s="3" t="n"/>
      <c r="B202" s="3" t="n"/>
      <c r="C202" s="3" t="n"/>
      <c r="D202" s="3" t="n"/>
      <c r="E202" s="3" t="n"/>
      <c r="F202" s="3" t="n"/>
      <c r="G202" s="3" t="n"/>
      <c r="H202" s="3" t="n"/>
      <c r="I202" s="3" t="n"/>
      <c r="J202" s="3" t="n"/>
      <c r="K202" s="3" t="n"/>
      <c r="L202" s="3" t="n"/>
      <c r="M202" s="3" t="n"/>
      <c r="N202" s="3" t="n"/>
    </row>
    <row r="203">
      <c r="A203" s="3" t="n"/>
      <c r="B203" s="3" t="n"/>
      <c r="C203" s="3" t="n"/>
      <c r="D203" s="3" t="n"/>
      <c r="E203" s="3" t="n"/>
      <c r="F203" s="3" t="n"/>
      <c r="G203" s="3" t="n"/>
      <c r="H203" s="3" t="n"/>
      <c r="I203" s="3" t="n"/>
      <c r="J203" s="3" t="n"/>
      <c r="K203" s="3" t="n"/>
      <c r="L203" s="3" t="n"/>
      <c r="M203" s="3" t="n"/>
      <c r="N203" s="3" t="n"/>
    </row>
    <row r="204">
      <c r="A204" s="3" t="n"/>
      <c r="B204" s="3" t="n"/>
      <c r="C204" s="3" t="n"/>
      <c r="D204" s="3" t="n"/>
      <c r="E204" s="3" t="n"/>
      <c r="F204" s="3" t="n"/>
      <c r="G204" s="3" t="n"/>
      <c r="H204" s="3" t="n"/>
      <c r="I204" s="3" t="n"/>
      <c r="J204" s="3" t="n"/>
      <c r="K204" s="3" t="n"/>
      <c r="L204" s="3" t="n"/>
      <c r="M204" s="3" t="n"/>
      <c r="N204" s="3" t="n"/>
    </row>
    <row r="205">
      <c r="A205" s="3" t="n"/>
      <c r="B205" s="3" t="n"/>
      <c r="C205" s="3" t="n"/>
      <c r="D205" s="3" t="n"/>
      <c r="E205" s="3" t="n"/>
      <c r="F205" s="3" t="n"/>
      <c r="G205" s="3" t="n"/>
      <c r="H205" s="3" t="n"/>
      <c r="I205" s="3" t="n"/>
      <c r="J205" s="3" t="n"/>
      <c r="K205" s="3" t="n"/>
      <c r="L205" s="3" t="n"/>
      <c r="M205" s="3" t="n"/>
      <c r="N205" s="3" t="n"/>
    </row>
    <row r="206">
      <c r="A206" s="3" t="n"/>
      <c r="B206" s="3" t="n"/>
      <c r="C206" s="3" t="n"/>
      <c r="D206" s="3" t="n"/>
      <c r="E206" s="3" t="n"/>
      <c r="F206" s="3" t="n"/>
      <c r="G206" s="3" t="n"/>
      <c r="H206" s="3" t="n"/>
      <c r="I206" s="3" t="n"/>
      <c r="J206" s="3" t="n"/>
      <c r="K206" s="3" t="n"/>
      <c r="L206" s="3" t="n"/>
      <c r="M206" s="3" t="n"/>
      <c r="N206" s="3" t="n"/>
    </row>
    <row r="207">
      <c r="A207" s="3" t="n"/>
      <c r="B207" s="3" t="n"/>
      <c r="C207" s="3" t="n"/>
      <c r="D207" s="3" t="n"/>
      <c r="E207" s="3" t="n"/>
      <c r="F207" s="3" t="n"/>
      <c r="G207" s="3" t="n"/>
      <c r="H207" s="3" t="n"/>
      <c r="I207" s="3" t="n"/>
      <c r="J207" s="3" t="n"/>
      <c r="K207" s="3" t="n"/>
      <c r="L207" s="3" t="n"/>
      <c r="M207" s="3" t="n"/>
      <c r="N207" s="3" t="n"/>
    </row>
    <row r="208">
      <c r="A208" s="3" t="n"/>
      <c r="B208" s="3" t="n"/>
      <c r="C208" s="3" t="n"/>
      <c r="D208" s="3" t="n"/>
      <c r="E208" s="3" t="n"/>
      <c r="F208" s="3" t="n"/>
      <c r="G208" s="3" t="n"/>
      <c r="H208" s="3" t="n"/>
      <c r="I208" s="3" t="n"/>
      <c r="J208" s="3" t="n"/>
      <c r="K208" s="3" t="n"/>
      <c r="L208" s="3" t="n"/>
      <c r="M208" s="3" t="n"/>
      <c r="N208" s="3" t="n"/>
    </row>
    <row r="209">
      <c r="A209" s="3" t="n"/>
      <c r="B209" s="3" t="n"/>
      <c r="C209" s="3" t="n"/>
      <c r="D209" s="3" t="n"/>
      <c r="E209" s="3" t="n"/>
      <c r="F209" s="3" t="n"/>
      <c r="G209" s="3" t="n"/>
      <c r="H209" s="3" t="n"/>
      <c r="I209" s="3" t="n"/>
      <c r="J209" s="3" t="n"/>
      <c r="K209" s="3" t="n"/>
      <c r="L209" s="3" t="n"/>
      <c r="M209" s="3" t="n"/>
      <c r="N209" s="3" t="n"/>
    </row>
    <row r="210">
      <c r="A210" s="3" t="n"/>
      <c r="B210" s="3" t="n"/>
      <c r="C210" s="3" t="n"/>
      <c r="D210" s="3" t="n"/>
      <c r="E210" s="3" t="n"/>
      <c r="F210" s="3" t="n"/>
      <c r="G210" s="3" t="n"/>
      <c r="H210" s="3" t="n"/>
      <c r="I210" s="3" t="n"/>
      <c r="J210" s="3" t="n"/>
      <c r="K210" s="3" t="n"/>
      <c r="L210" s="3" t="n"/>
      <c r="M210" s="3" t="n"/>
      <c r="N210" s="3" t="n"/>
    </row>
    <row r="211">
      <c r="A211" s="3" t="n"/>
      <c r="B211" s="3" t="n"/>
      <c r="C211" s="3" t="n"/>
      <c r="D211" s="3" t="n"/>
      <c r="E211" s="3" t="n"/>
      <c r="F211" s="3" t="n"/>
      <c r="G211" s="3" t="n"/>
      <c r="H211" s="3" t="n"/>
      <c r="I211" s="3" t="n"/>
      <c r="J211" s="3" t="n"/>
      <c r="K211" s="3" t="n"/>
      <c r="L211" s="3" t="n"/>
      <c r="M211" s="3" t="n"/>
      <c r="N211" s="3" t="n"/>
    </row>
    <row r="212">
      <c r="A212" s="3" t="n"/>
      <c r="B212" s="3" t="n"/>
      <c r="C212" s="3" t="n"/>
      <c r="D212" s="3" t="n"/>
      <c r="E212" s="3" t="n"/>
      <c r="F212" s="3" t="n"/>
      <c r="G212" s="3" t="n"/>
      <c r="H212" s="3" t="n"/>
      <c r="I212" s="3" t="n"/>
      <c r="J212" s="3" t="n"/>
      <c r="K212" s="3" t="n"/>
      <c r="L212" s="3" t="n"/>
      <c r="M212" s="3" t="n"/>
      <c r="N212" s="3" t="n"/>
    </row>
    <row r="213">
      <c r="A213" s="3" t="n"/>
      <c r="B213" s="3" t="n"/>
      <c r="C213" s="3" t="n"/>
      <c r="D213" s="3" t="n"/>
      <c r="E213" s="3" t="n"/>
      <c r="F213" s="3" t="n"/>
      <c r="G213" s="3" t="n"/>
      <c r="H213" s="3" t="n"/>
      <c r="I213" s="3" t="n"/>
      <c r="J213" s="3" t="n"/>
      <c r="K213" s="3" t="n"/>
      <c r="L213" s="3" t="n"/>
      <c r="M213" s="3" t="n"/>
      <c r="N213" s="3" t="n"/>
    </row>
    <row r="214">
      <c r="A214" s="3" t="n"/>
      <c r="B214" s="3" t="n"/>
      <c r="C214" s="3" t="n"/>
      <c r="D214" s="3" t="n"/>
      <c r="E214" s="3" t="n"/>
      <c r="F214" s="3" t="n"/>
      <c r="G214" s="3" t="n"/>
      <c r="H214" s="3" t="n"/>
      <c r="I214" s="3" t="n"/>
      <c r="J214" s="3" t="n"/>
      <c r="K214" s="3" t="n"/>
      <c r="L214" s="3" t="n"/>
      <c r="M214" s="3" t="n"/>
      <c r="N214" s="3" t="n"/>
    </row>
    <row r="215">
      <c r="A215" s="3" t="n"/>
      <c r="B215" s="3" t="n"/>
      <c r="C215" s="3" t="n"/>
      <c r="D215" s="3" t="n"/>
      <c r="E215" s="3" t="n"/>
      <c r="F215" s="3" t="n"/>
      <c r="G215" s="3" t="n"/>
      <c r="H215" s="3" t="n"/>
      <c r="I215" s="3" t="n"/>
      <c r="J215" s="3" t="n"/>
      <c r="K215" s="3" t="n"/>
      <c r="L215" s="3" t="n"/>
      <c r="M215" s="3" t="n"/>
      <c r="N215" s="3" t="n"/>
    </row>
    <row r="216">
      <c r="A216" s="3" t="n"/>
      <c r="B216" s="3" t="n"/>
      <c r="C216" s="3" t="n"/>
      <c r="D216" s="3" t="n"/>
      <c r="E216" s="3" t="n"/>
      <c r="F216" s="3" t="n"/>
      <c r="G216" s="3" t="n"/>
      <c r="H216" s="3" t="n"/>
      <c r="I216" s="3" t="n"/>
      <c r="J216" s="3" t="n"/>
      <c r="K216" s="3" t="n"/>
      <c r="L216" s="3" t="n"/>
      <c r="M216" s="3" t="n"/>
      <c r="N216" s="3" t="n"/>
    </row>
    <row r="217">
      <c r="A217" s="3" t="n"/>
      <c r="B217" s="3" t="n"/>
      <c r="C217" s="3" t="n"/>
      <c r="D217" s="3" t="n"/>
      <c r="E217" s="3" t="n"/>
      <c r="F217" s="3" t="n"/>
      <c r="G217" s="3" t="n"/>
      <c r="H217" s="3" t="n"/>
      <c r="I217" s="3" t="n"/>
      <c r="J217" s="3" t="n"/>
      <c r="K217" s="3" t="n"/>
      <c r="L217" s="3" t="n"/>
      <c r="M217" s="3" t="n"/>
      <c r="N217" s="3" t="n"/>
    </row>
    <row r="218">
      <c r="A218" s="3" t="n"/>
      <c r="B218" s="3" t="n"/>
      <c r="C218" s="3" t="n"/>
      <c r="D218" s="3" t="n"/>
      <c r="E218" s="3" t="n"/>
      <c r="F218" s="3" t="n"/>
      <c r="G218" s="3" t="n"/>
      <c r="H218" s="3" t="n"/>
      <c r="I218" s="3" t="n"/>
      <c r="J218" s="3" t="n"/>
      <c r="K218" s="3" t="n"/>
      <c r="L218" s="3" t="n"/>
      <c r="M218" s="3" t="n"/>
      <c r="N218" s="3" t="n"/>
    </row>
    <row r="219">
      <c r="A219" s="3" t="n"/>
      <c r="B219" s="3" t="n"/>
      <c r="C219" s="3" t="n"/>
      <c r="D219" s="3" t="n"/>
      <c r="E219" s="3" t="n"/>
      <c r="F219" s="3" t="n"/>
      <c r="G219" s="3" t="n"/>
      <c r="H219" s="3" t="n"/>
      <c r="I219" s="3" t="n"/>
      <c r="J219" s="3" t="n"/>
      <c r="K219" s="3" t="n"/>
      <c r="L219" s="3" t="n"/>
      <c r="M219" s="3" t="n"/>
      <c r="N219" s="3" t="n"/>
    </row>
    <row r="220">
      <c r="A220" s="3" t="n"/>
      <c r="B220" s="3" t="n"/>
      <c r="C220" s="3" t="n"/>
      <c r="D220" s="3" t="n"/>
      <c r="E220" s="3" t="n"/>
      <c r="F220" s="3" t="n"/>
      <c r="G220" s="3" t="n"/>
      <c r="H220" s="3" t="n"/>
      <c r="I220" s="3" t="n"/>
      <c r="J220" s="3" t="n"/>
      <c r="K220" s="3" t="n"/>
      <c r="L220" s="3" t="n"/>
      <c r="M220" s="3" t="n"/>
      <c r="N220" s="3" t="n"/>
    </row>
    <row r="221">
      <c r="A221" s="3" t="n"/>
      <c r="B221" s="3" t="n"/>
      <c r="C221" s="3" t="n"/>
      <c r="D221" s="3" t="n"/>
      <c r="E221" s="3" t="n"/>
      <c r="F221" s="3" t="n"/>
      <c r="G221" s="3" t="n"/>
      <c r="H221" s="3" t="n"/>
      <c r="I221" s="3" t="n"/>
      <c r="J221" s="3" t="n"/>
      <c r="K221" s="3" t="n"/>
      <c r="L221" s="3" t="n"/>
      <c r="M221" s="3" t="n"/>
      <c r="N221" s="3" t="n"/>
    </row>
    <row r="222">
      <c r="A222" s="3" t="n"/>
      <c r="B222" s="3" t="n"/>
      <c r="C222" s="3" t="n"/>
      <c r="D222" s="3" t="n"/>
      <c r="E222" s="3" t="n"/>
      <c r="F222" s="3" t="n"/>
      <c r="G222" s="3" t="n"/>
      <c r="H222" s="3" t="n"/>
      <c r="I222" s="3" t="n"/>
      <c r="J222" s="3" t="n"/>
      <c r="K222" s="3" t="n"/>
      <c r="L222" s="3" t="n"/>
      <c r="M222" s="3" t="n"/>
      <c r="N222" s="3" t="n"/>
    </row>
    <row r="223">
      <c r="A223" s="3" t="n"/>
      <c r="B223" s="3" t="n"/>
      <c r="C223" s="3" t="n"/>
      <c r="D223" s="3" t="n"/>
      <c r="E223" s="3" t="n"/>
      <c r="F223" s="3" t="n"/>
      <c r="G223" s="3" t="n"/>
      <c r="H223" s="3" t="n"/>
      <c r="I223" s="3" t="n"/>
      <c r="J223" s="3" t="n"/>
      <c r="K223" s="3" t="n"/>
      <c r="L223" s="3" t="n"/>
      <c r="M223" s="3" t="n"/>
      <c r="N223" s="3" t="n"/>
    </row>
    <row r="224">
      <c r="A224" s="3" t="n"/>
      <c r="B224" s="3" t="n"/>
      <c r="C224" s="3" t="n"/>
      <c r="D224" s="3" t="n"/>
      <c r="E224" s="3" t="n"/>
      <c r="F224" s="3" t="n"/>
      <c r="G224" s="3" t="n"/>
      <c r="H224" s="3" t="n"/>
      <c r="I224" s="3" t="n"/>
      <c r="J224" s="3" t="n"/>
      <c r="K224" s="3" t="n"/>
      <c r="L224" s="3" t="n"/>
      <c r="M224" s="3" t="n"/>
      <c r="N224" s="3" t="n"/>
    </row>
    <row r="225">
      <c r="A225" s="3" t="n"/>
      <c r="B225" s="3" t="n"/>
      <c r="C225" s="3" t="n"/>
      <c r="D225" s="3" t="n"/>
      <c r="E225" s="3" t="n"/>
      <c r="F225" s="3" t="n"/>
      <c r="G225" s="3" t="n"/>
      <c r="H225" s="3" t="n"/>
      <c r="I225" s="3" t="n"/>
      <c r="J225" s="3" t="n"/>
      <c r="K225" s="3" t="n"/>
      <c r="L225" s="3" t="n"/>
      <c r="M225" s="3" t="n"/>
      <c r="N225" s="3" t="n"/>
    </row>
    <row r="226">
      <c r="A226" s="3" t="n"/>
      <c r="B226" s="3" t="n"/>
      <c r="C226" s="3" t="n"/>
      <c r="D226" s="3" t="n"/>
      <c r="E226" s="3" t="n"/>
      <c r="F226" s="3" t="n"/>
      <c r="G226" s="3" t="n"/>
      <c r="H226" s="3" t="n"/>
      <c r="I226" s="3" t="n"/>
      <c r="J226" s="3" t="n"/>
      <c r="K226" s="3" t="n"/>
      <c r="L226" s="3" t="n"/>
      <c r="M226" s="3" t="n"/>
      <c r="N226" s="3" t="n"/>
    </row>
    <row r="227">
      <c r="A227" s="3" t="n"/>
      <c r="B227" s="3" t="n"/>
      <c r="C227" s="3" t="n"/>
      <c r="D227" s="3" t="n"/>
      <c r="E227" s="3" t="n"/>
      <c r="F227" s="3" t="n"/>
      <c r="G227" s="3" t="n"/>
      <c r="H227" s="3" t="n"/>
      <c r="I227" s="3" t="n"/>
      <c r="J227" s="3" t="n"/>
      <c r="K227" s="3" t="n"/>
      <c r="L227" s="3" t="n"/>
      <c r="M227" s="3" t="n"/>
      <c r="N227" s="3" t="n"/>
    </row>
    <row r="228">
      <c r="A228" s="3" t="n"/>
      <c r="B228" s="3" t="n"/>
      <c r="C228" s="3" t="n"/>
      <c r="D228" s="3" t="n"/>
      <c r="E228" s="3" t="n"/>
      <c r="F228" s="3" t="n"/>
      <c r="G228" s="3" t="n"/>
      <c r="H228" s="3" t="n"/>
      <c r="I228" s="3" t="n"/>
      <c r="J228" s="3" t="n"/>
      <c r="K228" s="3" t="n"/>
      <c r="L228" s="3" t="n"/>
      <c r="M228" s="3" t="n"/>
      <c r="N228" s="3" t="n"/>
    </row>
    <row r="229">
      <c r="A229" s="3" t="n"/>
      <c r="B229" s="3" t="n"/>
      <c r="C229" s="3" t="n"/>
      <c r="D229" s="3" t="n"/>
      <c r="E229" s="3" t="n"/>
      <c r="F229" s="3" t="n"/>
      <c r="G229" s="3" t="n"/>
      <c r="H229" s="3" t="n"/>
      <c r="I229" s="3" t="n"/>
      <c r="J229" s="3" t="n"/>
      <c r="K229" s="3" t="n"/>
      <c r="L229" s="3" t="n"/>
      <c r="M229" s="3" t="n"/>
      <c r="N229" s="3" t="n"/>
    </row>
    <row r="230">
      <c r="A230" s="3" t="n"/>
      <c r="B230" s="3" t="n"/>
      <c r="C230" s="3" t="n"/>
      <c r="D230" s="3" t="n"/>
      <c r="E230" s="3" t="n"/>
      <c r="F230" s="3" t="n"/>
      <c r="G230" s="3" t="n"/>
      <c r="H230" s="3" t="n"/>
      <c r="I230" s="3" t="n"/>
      <c r="J230" s="3" t="n"/>
      <c r="K230" s="3" t="n"/>
      <c r="L230" s="3" t="n"/>
      <c r="M230" s="3" t="n"/>
      <c r="N230" s="3" t="n"/>
    </row>
    <row r="231">
      <c r="A231" s="3" t="n"/>
      <c r="B231" s="3" t="n"/>
      <c r="C231" s="3" t="n"/>
      <c r="D231" s="3" t="n"/>
      <c r="E231" s="3" t="n"/>
      <c r="F231" s="3" t="n"/>
      <c r="G231" s="3" t="n"/>
      <c r="H231" s="3" t="n"/>
      <c r="I231" s="3" t="n"/>
      <c r="J231" s="3" t="n"/>
      <c r="K231" s="3" t="n"/>
      <c r="L231" s="3" t="n"/>
      <c r="M231" s="3" t="n"/>
      <c r="N231" s="3" t="n"/>
    </row>
    <row r="232">
      <c r="A232" s="3" t="n"/>
      <c r="B232" s="3" t="n"/>
      <c r="C232" s="3" t="n"/>
      <c r="D232" s="3" t="n"/>
      <c r="E232" s="3" t="n"/>
      <c r="F232" s="3" t="n"/>
      <c r="G232" s="3" t="n"/>
      <c r="H232" s="3" t="n"/>
      <c r="I232" s="3" t="n"/>
      <c r="J232" s="3" t="n"/>
      <c r="K232" s="3" t="n"/>
      <c r="L232" s="3" t="n"/>
      <c r="M232" s="3" t="n"/>
      <c r="N232" s="3" t="n"/>
    </row>
    <row r="233">
      <c r="A233" s="3" t="n"/>
      <c r="B233" s="3" t="n"/>
      <c r="C233" s="3" t="n"/>
      <c r="D233" s="3" t="n"/>
      <c r="E233" s="3" t="n"/>
      <c r="F233" s="3" t="n"/>
      <c r="G233" s="3" t="n"/>
      <c r="H233" s="3" t="n"/>
      <c r="I233" s="3" t="n"/>
      <c r="J233" s="3" t="n"/>
      <c r="K233" s="3" t="n"/>
      <c r="L233" s="3" t="n"/>
      <c r="M233" s="3" t="n"/>
      <c r="N233" s="3" t="n"/>
    </row>
    <row r="234">
      <c r="A234" s="3" t="n"/>
      <c r="B234" s="3" t="n"/>
      <c r="C234" s="3" t="n"/>
      <c r="D234" s="3" t="n"/>
      <c r="E234" s="3" t="n"/>
      <c r="F234" s="3" t="n"/>
      <c r="G234" s="3" t="n"/>
      <c r="H234" s="3" t="n"/>
      <c r="I234" s="3" t="n"/>
      <c r="J234" s="3" t="n"/>
      <c r="K234" s="3" t="n"/>
      <c r="L234" s="3" t="n"/>
      <c r="M234" s="3" t="n"/>
      <c r="N234" s="3" t="n"/>
    </row>
    <row r="235">
      <c r="A235" s="3" t="n"/>
      <c r="B235" s="3" t="n"/>
      <c r="C235" s="3" t="n"/>
      <c r="D235" s="3" t="n"/>
      <c r="E235" s="3" t="n"/>
      <c r="F235" s="3" t="n"/>
      <c r="G235" s="3" t="n"/>
      <c r="H235" s="3" t="n"/>
      <c r="I235" s="3" t="n"/>
      <c r="J235" s="3" t="n"/>
      <c r="K235" s="3" t="n"/>
      <c r="L235" s="3" t="n"/>
      <c r="M235" s="3" t="n"/>
      <c r="N235" s="3" t="n"/>
    </row>
    <row r="236">
      <c r="A236" s="3" t="n"/>
      <c r="B236" s="3" t="n"/>
      <c r="C236" s="3" t="n"/>
      <c r="D236" s="3" t="n"/>
      <c r="E236" s="3" t="n"/>
      <c r="F236" s="3" t="n"/>
      <c r="G236" s="3" t="n"/>
      <c r="H236" s="3" t="n"/>
      <c r="I236" s="3" t="n"/>
      <c r="J236" s="3" t="n"/>
      <c r="K236" s="3" t="n"/>
      <c r="L236" s="3" t="n"/>
      <c r="M236" s="3" t="n"/>
      <c r="N236" s="3" t="n"/>
    </row>
    <row r="237">
      <c r="A237" s="3" t="n"/>
      <c r="B237" s="3" t="n"/>
      <c r="C237" s="3" t="n"/>
      <c r="D237" s="3" t="n"/>
      <c r="E237" s="3" t="n"/>
      <c r="F237" s="3" t="n"/>
      <c r="G237" s="3" t="n"/>
      <c r="H237" s="3" t="n"/>
      <c r="I237" s="3" t="n"/>
      <c r="J237" s="3" t="n"/>
      <c r="K237" s="3" t="n"/>
      <c r="L237" s="3" t="n"/>
      <c r="M237" s="3" t="n"/>
      <c r="N237" s="3" t="n"/>
    </row>
    <row r="238">
      <c r="A238" s="3" t="n"/>
      <c r="B238" s="3" t="n"/>
      <c r="C238" s="3" t="n"/>
      <c r="D238" s="3" t="n"/>
      <c r="E238" s="3" t="n"/>
      <c r="F238" s="3" t="n"/>
      <c r="G238" s="3" t="n"/>
      <c r="H238" s="3" t="n"/>
      <c r="I238" s="3" t="n"/>
      <c r="J238" s="3" t="n"/>
      <c r="K238" s="3" t="n"/>
      <c r="L238" s="3" t="n"/>
      <c r="M238" s="3" t="n"/>
      <c r="N238" s="3" t="n"/>
    </row>
    <row r="239">
      <c r="A239" s="3" t="n"/>
      <c r="B239" s="3" t="n"/>
      <c r="C239" s="3" t="n"/>
      <c r="D239" s="3" t="n"/>
      <c r="E239" s="3" t="n"/>
      <c r="F239" s="3" t="n"/>
      <c r="G239" s="3" t="n"/>
      <c r="H239" s="3" t="n"/>
      <c r="I239" s="3" t="n"/>
      <c r="J239" s="3" t="n"/>
      <c r="K239" s="3" t="n"/>
      <c r="L239" s="3" t="n"/>
      <c r="M239" s="3" t="n"/>
      <c r="N239" s="3" t="n"/>
    </row>
    <row r="240">
      <c r="A240" s="3" t="n"/>
      <c r="B240" s="3" t="n"/>
      <c r="C240" s="3" t="n"/>
      <c r="D240" s="3" t="n"/>
      <c r="E240" s="3" t="n"/>
      <c r="F240" s="3" t="n"/>
      <c r="G240" s="3" t="n"/>
      <c r="H240" s="3" t="n"/>
      <c r="I240" s="3" t="n"/>
      <c r="J240" s="3" t="n"/>
      <c r="K240" s="3" t="n"/>
      <c r="L240" s="3" t="n"/>
      <c r="M240" s="3" t="n"/>
      <c r="N240" s="3" t="n"/>
    </row>
    <row r="241">
      <c r="A241" s="3" t="n"/>
      <c r="B241" s="3" t="n"/>
      <c r="C241" s="3" t="n"/>
      <c r="D241" s="3" t="n"/>
      <c r="E241" s="3" t="n"/>
      <c r="F241" s="3" t="n"/>
      <c r="G241" s="3" t="n"/>
      <c r="H241" s="3" t="n"/>
      <c r="I241" s="3" t="n"/>
      <c r="J241" s="3" t="n"/>
      <c r="K241" s="3" t="n"/>
      <c r="L241" s="3" t="n"/>
      <c r="M241" s="3" t="n"/>
      <c r="N241" s="3" t="n"/>
    </row>
    <row r="242">
      <c r="A242" s="3" t="n"/>
      <c r="B242" s="3" t="n"/>
      <c r="C242" s="3" t="n"/>
      <c r="D242" s="3" t="n"/>
      <c r="E242" s="3" t="n"/>
      <c r="F242" s="3" t="n"/>
      <c r="G242" s="3" t="n"/>
      <c r="H242" s="3" t="n"/>
      <c r="I242" s="3" t="n"/>
      <c r="J242" s="3" t="n"/>
      <c r="K242" s="3" t="n"/>
      <c r="L242" s="3" t="n"/>
      <c r="M242" s="3" t="n"/>
      <c r="N242" s="3" t="n"/>
    </row>
    <row r="243">
      <c r="A243" s="3" t="n"/>
      <c r="B243" s="3" t="n"/>
      <c r="C243" s="3" t="n"/>
      <c r="D243" s="3" t="n"/>
      <c r="E243" s="3" t="n"/>
      <c r="F243" s="3" t="n"/>
      <c r="G243" s="3" t="n"/>
      <c r="H243" s="3" t="n"/>
      <c r="I243" s="3" t="n"/>
      <c r="J243" s="3" t="n"/>
      <c r="K243" s="3" t="n"/>
      <c r="L243" s="3" t="n"/>
      <c r="M243" s="3" t="n"/>
      <c r="N243" s="3" t="n"/>
    </row>
    <row r="244">
      <c r="A244" s="3" t="n"/>
      <c r="B244" s="3" t="n"/>
      <c r="C244" s="3" t="n"/>
      <c r="D244" s="3" t="n"/>
      <c r="E244" s="3" t="n"/>
      <c r="F244" s="3" t="n"/>
      <c r="G244" s="3" t="n"/>
      <c r="H244" s="3" t="n"/>
      <c r="I244" s="3" t="n"/>
      <c r="J244" s="3" t="n"/>
      <c r="K244" s="3" t="n"/>
      <c r="L244" s="3" t="n"/>
      <c r="M244" s="3" t="n"/>
      <c r="N244" s="3" t="n"/>
    </row>
    <row r="245">
      <c r="A245" s="3" t="n"/>
      <c r="B245" s="3" t="n"/>
      <c r="C245" s="3" t="n"/>
      <c r="D245" s="3" t="n"/>
      <c r="E245" s="3" t="n"/>
      <c r="F245" s="3" t="n"/>
      <c r="G245" s="3" t="n"/>
      <c r="H245" s="3" t="n"/>
      <c r="I245" s="3" t="n"/>
      <c r="J245" s="3" t="n"/>
      <c r="K245" s="3" t="n"/>
      <c r="L245" s="3" t="n"/>
      <c r="M245" s="3" t="n"/>
      <c r="N245" s="3" t="n"/>
    </row>
    <row r="246">
      <c r="A246" s="3" t="n"/>
      <c r="B246" s="3" t="n"/>
      <c r="C246" s="3" t="n"/>
      <c r="D246" s="3" t="n"/>
      <c r="E246" s="3" t="n"/>
      <c r="F246" s="3" t="n"/>
      <c r="G246" s="3" t="n"/>
      <c r="H246" s="3" t="n"/>
      <c r="I246" s="3" t="n"/>
      <c r="J246" s="3" t="n"/>
      <c r="K246" s="3" t="n"/>
      <c r="L246" s="3" t="n"/>
      <c r="M246" s="3" t="n"/>
      <c r="N246" s="3" t="n"/>
    </row>
    <row r="247">
      <c r="A247" s="3" t="n"/>
      <c r="B247" s="3" t="n"/>
      <c r="C247" s="3" t="n"/>
      <c r="D247" s="3" t="n"/>
      <c r="E247" s="3" t="n"/>
      <c r="F247" s="3" t="n"/>
      <c r="G247" s="3" t="n"/>
      <c r="H247" s="3" t="n"/>
      <c r="I247" s="3" t="n"/>
      <c r="J247" s="3" t="n"/>
      <c r="K247" s="3" t="n"/>
      <c r="L247" s="3" t="n"/>
      <c r="M247" s="3" t="n"/>
      <c r="N247" s="3" t="n"/>
    </row>
    <row r="248">
      <c r="A248" s="3" t="n"/>
      <c r="B248" s="3" t="n"/>
      <c r="C248" s="3" t="n"/>
      <c r="D248" s="3" t="n"/>
      <c r="E248" s="3" t="n"/>
      <c r="F248" s="3" t="n"/>
      <c r="G248" s="3" t="n"/>
      <c r="H248" s="3" t="n"/>
      <c r="I248" s="3" t="n"/>
      <c r="J248" s="3" t="n"/>
      <c r="K248" s="3" t="n"/>
      <c r="L248" s="3" t="n"/>
      <c r="M248" s="3" t="n"/>
      <c r="N248" s="3" t="n"/>
    </row>
    <row r="249">
      <c r="A249" s="3" t="n"/>
      <c r="B249" s="3" t="n"/>
      <c r="C249" s="3" t="n"/>
      <c r="D249" s="3" t="n"/>
      <c r="E249" s="3" t="n"/>
      <c r="F249" s="3" t="n"/>
      <c r="G249" s="3" t="n"/>
      <c r="H249" s="3" t="n"/>
      <c r="I249" s="3" t="n"/>
      <c r="J249" s="3" t="n"/>
      <c r="K249" s="3" t="n"/>
      <c r="L249" s="3" t="n"/>
      <c r="M249" s="3" t="n"/>
      <c r="N249" s="3" t="n"/>
    </row>
    <row r="250">
      <c r="A250" s="3" t="n"/>
      <c r="B250" s="3" t="n"/>
      <c r="C250" s="3" t="n"/>
      <c r="D250" s="3" t="n"/>
      <c r="E250" s="3" t="n"/>
      <c r="F250" s="3" t="n"/>
      <c r="G250" s="3" t="n"/>
      <c r="H250" s="3" t="n"/>
      <c r="I250" s="3" t="n"/>
      <c r="J250" s="3" t="n"/>
      <c r="K250" s="3" t="n"/>
      <c r="L250" s="3" t="n"/>
      <c r="M250" s="3" t="n"/>
      <c r="N250" s="3" t="n"/>
    </row>
    <row r="251">
      <c r="A251" s="3" t="n"/>
      <c r="B251" s="3" t="n"/>
      <c r="C251" s="3" t="n"/>
      <c r="D251" s="3" t="n"/>
      <c r="E251" s="3" t="n"/>
      <c r="F251" s="3" t="n"/>
      <c r="G251" s="3" t="n"/>
      <c r="H251" s="3" t="n"/>
      <c r="I251" s="3" t="n"/>
      <c r="J251" s="3" t="n"/>
      <c r="K251" s="3" t="n"/>
      <c r="L251" s="3" t="n"/>
      <c r="M251" s="3" t="n"/>
      <c r="N251" s="3" t="n"/>
    </row>
    <row r="252">
      <c r="A252" s="3" t="n"/>
      <c r="B252" s="3" t="n"/>
      <c r="C252" s="3" t="n"/>
      <c r="D252" s="3" t="n"/>
      <c r="E252" s="3" t="n"/>
      <c r="F252" s="3" t="n"/>
      <c r="G252" s="3" t="n"/>
      <c r="H252" s="3" t="n"/>
      <c r="I252" s="3" t="n"/>
      <c r="J252" s="3" t="n"/>
      <c r="K252" s="3" t="n"/>
      <c r="L252" s="3" t="n"/>
      <c r="M252" s="3" t="n"/>
      <c r="N252" s="3" t="n"/>
    </row>
    <row r="253">
      <c r="A253" s="3" t="n"/>
      <c r="B253" s="3" t="n"/>
      <c r="C253" s="3" t="n"/>
      <c r="D253" s="3" t="n"/>
      <c r="E253" s="3" t="n"/>
      <c r="F253" s="3" t="n"/>
      <c r="G253" s="3" t="n"/>
      <c r="H253" s="3" t="n"/>
      <c r="I253" s="3" t="n"/>
      <c r="J253" s="3" t="n"/>
      <c r="K253" s="3" t="n"/>
      <c r="L253" s="3" t="n"/>
      <c r="M253" s="3" t="n"/>
      <c r="N253" s="3" t="n"/>
    </row>
    <row r="254">
      <c r="A254" s="3" t="n"/>
      <c r="B254" s="3" t="n"/>
      <c r="C254" s="3" t="n"/>
      <c r="D254" s="3" t="n"/>
      <c r="E254" s="3" t="n"/>
      <c r="F254" s="3" t="n"/>
      <c r="G254" s="3" t="n"/>
      <c r="H254" s="3" t="n"/>
      <c r="I254" s="3" t="n"/>
      <c r="J254" s="3" t="n"/>
      <c r="K254" s="3" t="n"/>
      <c r="L254" s="3" t="n"/>
      <c r="M254" s="3" t="n"/>
      <c r="N254" s="3" t="n"/>
    </row>
    <row r="255">
      <c r="A255" s="3" t="n"/>
      <c r="B255" s="3" t="n"/>
      <c r="C255" s="3" t="n"/>
      <c r="D255" s="3" t="n"/>
      <c r="E255" s="3" t="n"/>
      <c r="F255" s="3" t="n"/>
      <c r="G255" s="3" t="n"/>
      <c r="H255" s="3" t="n"/>
      <c r="I255" s="3" t="n"/>
      <c r="J255" s="3" t="n"/>
      <c r="K255" s="3" t="n"/>
      <c r="L255" s="3" t="n"/>
      <c r="M255" s="3" t="n"/>
      <c r="N255" s="3" t="n"/>
    </row>
    <row r="256">
      <c r="A256" s="3" t="n"/>
      <c r="B256" s="3" t="n"/>
      <c r="C256" s="3" t="n"/>
      <c r="D256" s="3" t="n"/>
      <c r="E256" s="3" t="n"/>
      <c r="F256" s="3" t="n"/>
      <c r="G256" s="3" t="n"/>
      <c r="H256" s="3" t="n"/>
      <c r="I256" s="3" t="n"/>
      <c r="J256" s="3" t="n"/>
      <c r="K256" s="3" t="n"/>
      <c r="L256" s="3" t="n"/>
      <c r="M256" s="3" t="n"/>
      <c r="N256" s="3" t="n"/>
    </row>
    <row r="257">
      <c r="A257" s="3" t="n"/>
      <c r="B257" s="3" t="n"/>
      <c r="C257" s="3" t="n"/>
      <c r="D257" s="3" t="n"/>
      <c r="E257" s="3" t="n"/>
      <c r="F257" s="3" t="n"/>
      <c r="G257" s="3" t="n"/>
      <c r="H257" s="3" t="n"/>
      <c r="I257" s="3" t="n"/>
      <c r="J257" s="3" t="n"/>
      <c r="K257" s="3" t="n"/>
      <c r="L257" s="3" t="n"/>
      <c r="M257" s="3" t="n"/>
      <c r="N257" s="3" t="n"/>
    </row>
    <row r="258">
      <c r="A258" s="3" t="n"/>
      <c r="B258" s="3" t="n"/>
      <c r="C258" s="3" t="n"/>
      <c r="D258" s="3" t="n"/>
      <c r="E258" s="3" t="n"/>
      <c r="F258" s="3" t="n"/>
      <c r="G258" s="3" t="n"/>
      <c r="H258" s="3" t="n"/>
      <c r="I258" s="3" t="n"/>
      <c r="J258" s="3" t="n"/>
      <c r="K258" s="3" t="n"/>
      <c r="L258" s="3" t="n"/>
      <c r="M258" s="3" t="n"/>
      <c r="N258" s="3" t="n"/>
    </row>
    <row r="259">
      <c r="A259" s="3" t="n"/>
      <c r="B259" s="3" t="n"/>
      <c r="C259" s="3" t="n"/>
      <c r="D259" s="3" t="n"/>
      <c r="E259" s="3" t="n"/>
      <c r="F259" s="3" t="n"/>
      <c r="G259" s="3" t="n"/>
      <c r="H259" s="3" t="n"/>
      <c r="I259" s="3" t="n"/>
      <c r="J259" s="3" t="n"/>
      <c r="K259" s="3" t="n"/>
      <c r="L259" s="3" t="n"/>
      <c r="M259" s="3" t="n"/>
      <c r="N259" s="3" t="n"/>
    </row>
    <row r="260">
      <c r="A260" s="3" t="n"/>
      <c r="B260" s="3" t="n"/>
      <c r="C260" s="3" t="n"/>
      <c r="D260" s="3" t="n"/>
      <c r="E260" s="3" t="n"/>
      <c r="F260" s="3" t="n"/>
      <c r="G260" s="3" t="n"/>
      <c r="H260" s="3" t="n"/>
      <c r="I260" s="3" t="n"/>
      <c r="J260" s="3" t="n"/>
      <c r="K260" s="3" t="n"/>
      <c r="L260" s="3" t="n"/>
      <c r="M260" s="3" t="n"/>
      <c r="N260" s="3" t="n"/>
    </row>
    <row r="261">
      <c r="A261" s="3" t="n"/>
      <c r="B261" s="3" t="n"/>
      <c r="C261" s="3" t="n"/>
      <c r="D261" s="3" t="n"/>
      <c r="E261" s="3" t="n"/>
      <c r="F261" s="3" t="n"/>
      <c r="G261" s="3" t="n"/>
      <c r="H261" s="3" t="n"/>
      <c r="I261" s="3" t="n"/>
      <c r="J261" s="3" t="n"/>
      <c r="K261" s="3" t="n"/>
      <c r="L261" s="3" t="n"/>
      <c r="M261" s="3" t="n"/>
      <c r="N261" s="3" t="n"/>
    </row>
    <row r="262">
      <c r="A262" s="3" t="n"/>
      <c r="B262" s="3" t="n"/>
      <c r="C262" s="3" t="n"/>
      <c r="D262" s="3" t="n"/>
      <c r="E262" s="3" t="n"/>
      <c r="F262" s="3" t="n"/>
      <c r="G262" s="3" t="n"/>
      <c r="H262" s="3" t="n"/>
      <c r="I262" s="3" t="n"/>
      <c r="J262" s="3" t="n"/>
      <c r="K262" s="3" t="n"/>
      <c r="L262" s="3" t="n"/>
      <c r="M262" s="3" t="n"/>
      <c r="N262" s="3" t="n"/>
    </row>
    <row r="263">
      <c r="A263" s="3" t="n"/>
      <c r="B263" s="3" t="n"/>
      <c r="C263" s="3" t="n"/>
      <c r="D263" s="3" t="n"/>
      <c r="E263" s="3" t="n"/>
      <c r="F263" s="3" t="n"/>
      <c r="G263" s="3" t="n"/>
      <c r="H263" s="3" t="n"/>
      <c r="I263" s="3" t="n"/>
      <c r="J263" s="3" t="n"/>
      <c r="K263" s="3" t="n"/>
      <c r="L263" s="3" t="n"/>
      <c r="M263" s="3" t="n"/>
      <c r="N263" s="3" t="n"/>
    </row>
    <row r="264">
      <c r="A264" s="3" t="n"/>
      <c r="B264" s="3" t="n"/>
      <c r="C264" s="3" t="n"/>
      <c r="D264" s="3" t="n"/>
      <c r="E264" s="3" t="n"/>
      <c r="F264" s="3" t="n"/>
      <c r="G264" s="3" t="n"/>
      <c r="H264" s="3" t="n"/>
      <c r="I264" s="3" t="n"/>
      <c r="J264" s="3" t="n"/>
      <c r="K264" s="3" t="n"/>
      <c r="L264" s="3" t="n"/>
      <c r="M264" s="3" t="n"/>
      <c r="N264" s="3" t="n"/>
    </row>
    <row r="265">
      <c r="A265" s="3" t="n"/>
      <c r="B265" s="3" t="n"/>
      <c r="C265" s="3" t="n"/>
      <c r="D265" s="3" t="n"/>
      <c r="E265" s="3" t="n"/>
      <c r="F265" s="3" t="n"/>
      <c r="G265" s="3" t="n"/>
      <c r="H265" s="3" t="n"/>
      <c r="I265" s="3" t="n"/>
      <c r="J265" s="3" t="n"/>
      <c r="K265" s="3" t="n"/>
      <c r="L265" s="3" t="n"/>
      <c r="M265" s="3" t="n"/>
      <c r="N265" s="3" t="n"/>
    </row>
    <row r="266">
      <c r="A266" s="3" t="n"/>
      <c r="B266" s="3" t="n"/>
      <c r="C266" s="3" t="n"/>
      <c r="D266" s="3" t="n"/>
      <c r="E266" s="3" t="n"/>
      <c r="F266" s="3" t="n"/>
      <c r="G266" s="3" t="n"/>
      <c r="H266" s="3" t="n"/>
      <c r="I266" s="3" t="n"/>
      <c r="J266" s="3" t="n"/>
      <c r="K266" s="3" t="n"/>
      <c r="L266" s="3" t="n"/>
      <c r="M266" s="3" t="n"/>
      <c r="N266" s="3" t="n"/>
    </row>
    <row r="267">
      <c r="A267" s="3" t="n"/>
      <c r="B267" s="3" t="n"/>
      <c r="C267" s="3" t="n"/>
      <c r="D267" s="3" t="n"/>
      <c r="E267" s="3" t="n"/>
      <c r="F267" s="3" t="n"/>
      <c r="G267" s="3" t="n"/>
      <c r="H267" s="3" t="n"/>
      <c r="I267" s="3" t="n"/>
      <c r="J267" s="3" t="n"/>
      <c r="K267" s="3" t="n"/>
      <c r="L267" s="3" t="n"/>
      <c r="M267" s="3" t="n"/>
      <c r="N267" s="3" t="n"/>
    </row>
    <row r="268">
      <c r="A268" s="3" t="n"/>
      <c r="B268" s="3" t="n"/>
      <c r="C268" s="3" t="n"/>
      <c r="D268" s="3" t="n"/>
      <c r="E268" s="3" t="n"/>
      <c r="F268" s="3" t="n"/>
      <c r="G268" s="3" t="n"/>
      <c r="H268" s="3" t="n"/>
      <c r="I268" s="3" t="n"/>
      <c r="J268" s="3" t="n"/>
      <c r="K268" s="3" t="n"/>
      <c r="L268" s="3" t="n"/>
      <c r="M268" s="3" t="n"/>
      <c r="N268" s="3" t="n"/>
    </row>
    <row r="269">
      <c r="A269" s="3" t="n"/>
      <c r="B269" s="3" t="n"/>
      <c r="C269" s="3" t="n"/>
      <c r="D269" s="3" t="n"/>
      <c r="E269" s="3" t="n"/>
      <c r="F269" s="3" t="n"/>
      <c r="G269" s="3" t="n"/>
      <c r="H269" s="3" t="n"/>
      <c r="I269" s="3" t="n"/>
      <c r="J269" s="3" t="n"/>
      <c r="K269" s="3" t="n"/>
      <c r="L269" s="3" t="n"/>
      <c r="M269" s="3" t="n"/>
      <c r="N269" s="3" t="n"/>
    </row>
    <row r="270">
      <c r="A270" s="3" t="n"/>
      <c r="B270" s="3" t="n"/>
      <c r="C270" s="3" t="n"/>
      <c r="D270" s="3" t="n"/>
      <c r="E270" s="3" t="n"/>
      <c r="F270" s="3" t="n"/>
      <c r="G270" s="3" t="n"/>
      <c r="H270" s="3" t="n"/>
      <c r="I270" s="3" t="n"/>
      <c r="J270" s="3" t="n"/>
      <c r="K270" s="3" t="n"/>
      <c r="L270" s="3" t="n"/>
      <c r="M270" s="3" t="n"/>
      <c r="N270" s="3" t="n"/>
    </row>
    <row r="271">
      <c r="A271" s="3" t="n"/>
      <c r="B271" s="3" t="n"/>
      <c r="C271" s="3" t="n"/>
      <c r="D271" s="3" t="n"/>
      <c r="E271" s="3" t="n"/>
      <c r="F271" s="3" t="n"/>
      <c r="G271" s="3" t="n"/>
      <c r="H271" s="3" t="n"/>
      <c r="I271" s="3" t="n"/>
      <c r="J271" s="3" t="n"/>
      <c r="K271" s="3" t="n"/>
      <c r="L271" s="3" t="n"/>
      <c r="M271" s="3" t="n"/>
      <c r="N271" s="3" t="n"/>
    </row>
    <row r="272">
      <c r="A272" s="3" t="n"/>
      <c r="B272" s="3" t="n"/>
      <c r="C272" s="3" t="n"/>
      <c r="D272" s="3" t="n"/>
      <c r="E272" s="3" t="n"/>
      <c r="F272" s="3" t="n"/>
      <c r="G272" s="3" t="n"/>
      <c r="H272" s="3" t="n"/>
      <c r="I272" s="3" t="n"/>
      <c r="J272" s="3" t="n"/>
      <c r="K272" s="3" t="n"/>
      <c r="L272" s="3" t="n"/>
      <c r="M272" s="3" t="n"/>
      <c r="N272" s="3" t="n"/>
    </row>
    <row r="273">
      <c r="A273" s="3" t="n"/>
      <c r="B273" s="3" t="n"/>
      <c r="C273" s="3" t="n"/>
      <c r="D273" s="3" t="n"/>
      <c r="E273" s="3" t="n"/>
      <c r="F273" s="3" t="n"/>
      <c r="G273" s="3" t="n"/>
      <c r="H273" s="3" t="n"/>
      <c r="I273" s="3" t="n"/>
      <c r="J273" s="3" t="n"/>
      <c r="K273" s="3" t="n"/>
      <c r="L273" s="3" t="n"/>
      <c r="M273" s="3" t="n"/>
      <c r="N273" s="3" t="n"/>
    </row>
    <row r="274">
      <c r="A274" s="3" t="n"/>
      <c r="B274" s="3" t="n"/>
      <c r="C274" s="3" t="n"/>
      <c r="D274" s="3" t="n"/>
      <c r="E274" s="3" t="n"/>
      <c r="F274" s="3" t="n"/>
      <c r="G274" s="3" t="n"/>
      <c r="H274" s="3" t="n"/>
      <c r="I274" s="3" t="n"/>
      <c r="J274" s="3" t="n"/>
      <c r="K274" s="3" t="n"/>
      <c r="L274" s="3" t="n"/>
      <c r="M274" s="3" t="n"/>
      <c r="N274" s="3" t="n"/>
    </row>
    <row r="275">
      <c r="A275" s="3" t="n"/>
      <c r="B275" s="3" t="n"/>
      <c r="C275" s="3" t="n"/>
      <c r="D275" s="3" t="n"/>
      <c r="E275" s="3" t="n"/>
      <c r="F275" s="3" t="n"/>
      <c r="G275" s="3" t="n"/>
      <c r="H275" s="3" t="n"/>
      <c r="I275" s="3" t="n"/>
      <c r="J275" s="3" t="n"/>
      <c r="K275" s="3" t="n"/>
      <c r="L275" s="3" t="n"/>
      <c r="M275" s="3" t="n"/>
      <c r="N275" s="3" t="n"/>
    </row>
    <row r="276">
      <c r="A276" s="3" t="n"/>
      <c r="B276" s="3" t="n"/>
      <c r="C276" s="3" t="n"/>
      <c r="D276" s="3" t="n"/>
      <c r="E276" s="3" t="n"/>
      <c r="F276" s="3" t="n"/>
      <c r="G276" s="3" t="n"/>
      <c r="H276" s="3" t="n"/>
      <c r="I276" s="3" t="n"/>
      <c r="J276" s="3" t="n"/>
      <c r="K276" s="3" t="n"/>
      <c r="L276" s="3" t="n"/>
      <c r="M276" s="3" t="n"/>
      <c r="N276" s="3" t="n"/>
    </row>
    <row r="277">
      <c r="A277" s="3" t="n"/>
      <c r="B277" s="3" t="n"/>
      <c r="C277" s="3" t="n"/>
      <c r="D277" s="3" t="n"/>
      <c r="E277" s="3" t="n"/>
      <c r="F277" s="3" t="n"/>
      <c r="G277" s="3" t="n"/>
      <c r="H277" s="3" t="n"/>
      <c r="I277" s="3" t="n"/>
      <c r="J277" s="3" t="n"/>
      <c r="K277" s="3" t="n"/>
      <c r="L277" s="3" t="n"/>
      <c r="M277" s="3" t="n"/>
      <c r="N277" s="3" t="n"/>
    </row>
    <row r="278">
      <c r="A278" s="3" t="n"/>
      <c r="B278" s="3" t="n"/>
      <c r="C278" s="3" t="n"/>
      <c r="D278" s="3" t="n"/>
      <c r="E278" s="3" t="n"/>
      <c r="F278" s="3" t="n"/>
      <c r="G278" s="3" t="n"/>
      <c r="H278" s="3" t="n"/>
      <c r="I278" s="3" t="n"/>
      <c r="J278" s="3" t="n"/>
      <c r="K278" s="3" t="n"/>
      <c r="L278" s="3" t="n"/>
      <c r="M278" s="3" t="n"/>
      <c r="N278" s="3" t="n"/>
    </row>
    <row r="279">
      <c r="A279" s="3" t="n"/>
      <c r="B279" s="3" t="n"/>
      <c r="C279" s="3" t="n"/>
      <c r="D279" s="3" t="n"/>
      <c r="E279" s="3" t="n"/>
      <c r="F279" s="3" t="n"/>
      <c r="G279" s="3" t="n"/>
      <c r="H279" s="3" t="n"/>
      <c r="I279" s="3" t="n"/>
      <c r="J279" s="3" t="n"/>
      <c r="K279" s="3" t="n"/>
      <c r="L279" s="3" t="n"/>
      <c r="M279" s="3" t="n"/>
      <c r="N279" s="3" t="n"/>
    </row>
    <row r="280">
      <c r="A280" s="3" t="n"/>
      <c r="B280" s="3" t="n"/>
      <c r="C280" s="3" t="n"/>
      <c r="D280" s="3" t="n"/>
      <c r="E280" s="3" t="n"/>
      <c r="F280" s="3" t="n"/>
      <c r="G280" s="3" t="n"/>
      <c r="H280" s="3" t="n"/>
      <c r="I280" s="3" t="n"/>
      <c r="J280" s="3" t="n"/>
      <c r="K280" s="3" t="n"/>
      <c r="L280" s="3" t="n"/>
      <c r="M280" s="3" t="n"/>
      <c r="N280" s="3" t="n"/>
    </row>
    <row r="281">
      <c r="A281" s="3" t="n"/>
      <c r="B281" s="3" t="n"/>
      <c r="C281" s="3" t="n"/>
      <c r="D281" s="3" t="n"/>
      <c r="E281" s="3" t="n"/>
      <c r="F281" s="3" t="n"/>
      <c r="G281" s="3" t="n"/>
      <c r="H281" s="3" t="n"/>
      <c r="I281" s="3" t="n"/>
      <c r="J281" s="3" t="n"/>
      <c r="K281" s="3" t="n"/>
      <c r="L281" s="3" t="n"/>
      <c r="M281" s="3" t="n"/>
      <c r="N281" s="3" t="n"/>
    </row>
    <row r="282">
      <c r="A282" s="3" t="n"/>
      <c r="B282" s="3" t="n"/>
      <c r="C282" s="3" t="n"/>
      <c r="D282" s="3" t="n"/>
      <c r="E282" s="3" t="n"/>
      <c r="F282" s="3" t="n"/>
      <c r="G282" s="3" t="n"/>
      <c r="H282" s="3" t="n"/>
      <c r="I282" s="3" t="n"/>
      <c r="J282" s="3" t="n"/>
      <c r="K282" s="3" t="n"/>
      <c r="L282" s="3" t="n"/>
      <c r="M282" s="3" t="n"/>
      <c r="N282" s="3" t="n"/>
    </row>
    <row r="283">
      <c r="A283" s="3" t="n"/>
      <c r="B283" s="3" t="n"/>
      <c r="C283" s="3" t="n"/>
      <c r="D283" s="3" t="n"/>
      <c r="E283" s="3" t="n"/>
      <c r="F283" s="3" t="n"/>
      <c r="G283" s="3" t="n"/>
      <c r="H283" s="3" t="n"/>
      <c r="I283" s="3" t="n"/>
      <c r="J283" s="3" t="n"/>
      <c r="K283" s="3" t="n"/>
      <c r="L283" s="3" t="n"/>
      <c r="M283" s="3" t="n"/>
      <c r="N283" s="3" t="n"/>
    </row>
    <row r="284">
      <c r="A284" s="3" t="n"/>
      <c r="B284" s="3" t="n"/>
      <c r="C284" s="3" t="n"/>
      <c r="D284" s="3" t="n"/>
      <c r="E284" s="3" t="n"/>
      <c r="F284" s="3" t="n"/>
      <c r="G284" s="3" t="n"/>
      <c r="H284" s="3" t="n"/>
      <c r="I284" s="3" t="n"/>
      <c r="J284" s="3" t="n"/>
      <c r="K284" s="3" t="n"/>
      <c r="L284" s="3" t="n"/>
      <c r="M284" s="3" t="n"/>
      <c r="N284" s="3" t="n"/>
    </row>
    <row r="285">
      <c r="A285" s="3" t="n"/>
      <c r="B285" s="3" t="n"/>
      <c r="C285" s="3" t="n"/>
      <c r="D285" s="3" t="n"/>
      <c r="E285" s="3" t="n"/>
      <c r="F285" s="3" t="n"/>
      <c r="G285" s="3" t="n"/>
      <c r="H285" s="3" t="n"/>
      <c r="I285" s="3" t="n"/>
      <c r="J285" s="3" t="n"/>
      <c r="K285" s="3" t="n"/>
      <c r="L285" s="3" t="n"/>
      <c r="M285" s="3" t="n"/>
      <c r="N285" s="3" t="n"/>
    </row>
    <row r="286">
      <c r="A286" s="3" t="n"/>
      <c r="B286" s="3" t="n"/>
      <c r="C286" s="3" t="n"/>
      <c r="D286" s="3" t="n"/>
      <c r="E286" s="3" t="n"/>
      <c r="F286" s="3" t="n"/>
      <c r="G286" s="3" t="n"/>
      <c r="H286" s="3" t="n"/>
      <c r="I286" s="3" t="n"/>
      <c r="J286" s="3" t="n"/>
      <c r="K286" s="3" t="n"/>
      <c r="L286" s="3" t="n"/>
      <c r="M286" s="3" t="n"/>
      <c r="N286" s="3" t="n"/>
    </row>
    <row r="287">
      <c r="A287" s="3" t="n"/>
      <c r="B287" s="3" t="n"/>
      <c r="C287" s="3" t="n"/>
      <c r="D287" s="3" t="n"/>
      <c r="E287" s="3" t="n"/>
      <c r="F287" s="3" t="n"/>
      <c r="G287" s="3" t="n"/>
      <c r="H287" s="3" t="n"/>
      <c r="I287" s="3" t="n"/>
      <c r="J287" s="3" t="n"/>
      <c r="K287" s="3" t="n"/>
      <c r="L287" s="3" t="n"/>
      <c r="M287" s="3" t="n"/>
      <c r="N287" s="3" t="n"/>
    </row>
    <row r="288">
      <c r="A288" s="3" t="n"/>
      <c r="B288" s="3" t="n"/>
      <c r="C288" s="3" t="n"/>
      <c r="D288" s="3" t="n"/>
      <c r="E288" s="3" t="n"/>
      <c r="F288" s="3" t="n"/>
      <c r="G288" s="3" t="n"/>
      <c r="H288" s="3" t="n"/>
      <c r="I288" s="3" t="n"/>
      <c r="J288" s="3" t="n"/>
      <c r="K288" s="3" t="n"/>
      <c r="L288" s="3" t="n"/>
      <c r="M288" s="3" t="n"/>
      <c r="N288" s="3" t="n"/>
    </row>
    <row r="289">
      <c r="A289" s="3" t="n"/>
      <c r="B289" s="3" t="n"/>
      <c r="C289" s="3" t="n"/>
      <c r="D289" s="3" t="n"/>
      <c r="E289" s="3" t="n"/>
      <c r="F289" s="3" t="n"/>
      <c r="G289" s="3" t="n"/>
      <c r="H289" s="3" t="n"/>
      <c r="I289" s="3" t="n"/>
      <c r="J289" s="3" t="n"/>
      <c r="K289" s="3" t="n"/>
      <c r="L289" s="3" t="n"/>
      <c r="M289" s="3" t="n"/>
      <c r="N289" s="3" t="n"/>
    </row>
    <row r="290">
      <c r="A290" s="3" t="n"/>
      <c r="B290" s="3" t="n"/>
      <c r="C290" s="3" t="n"/>
      <c r="D290" s="3" t="n"/>
      <c r="E290" s="3" t="n"/>
      <c r="F290" s="3" t="n"/>
      <c r="G290" s="3" t="n"/>
      <c r="H290" s="3" t="n"/>
      <c r="I290" s="3" t="n"/>
      <c r="J290" s="3" t="n"/>
      <c r="K290" s="3" t="n"/>
      <c r="L290" s="3" t="n"/>
      <c r="M290" s="3" t="n"/>
      <c r="N290" s="3" t="n"/>
    </row>
    <row r="291">
      <c r="A291" s="3" t="n"/>
      <c r="B291" s="3" t="n"/>
      <c r="C291" s="3" t="n"/>
      <c r="D291" s="3" t="n"/>
      <c r="E291" s="3" t="n"/>
      <c r="F291" s="3" t="n"/>
      <c r="G291" s="3" t="n"/>
      <c r="H291" s="3" t="n"/>
      <c r="I291" s="3" t="n"/>
      <c r="J291" s="3" t="n"/>
      <c r="K291" s="3" t="n"/>
      <c r="L291" s="3" t="n"/>
      <c r="M291" s="3" t="n"/>
      <c r="N291" s="3" t="n"/>
    </row>
    <row r="292">
      <c r="A292" s="3" t="n"/>
      <c r="B292" s="3" t="n"/>
      <c r="C292" s="3" t="n"/>
      <c r="D292" s="3" t="n"/>
      <c r="E292" s="3" t="n"/>
      <c r="F292" s="3" t="n"/>
      <c r="G292" s="3" t="n"/>
      <c r="H292" s="3" t="n"/>
      <c r="I292" s="3" t="n"/>
      <c r="J292" s="3" t="n"/>
      <c r="K292" s="3" t="n"/>
      <c r="L292" s="3" t="n"/>
      <c r="M292" s="3" t="n"/>
      <c r="N292" s="3" t="n"/>
    </row>
    <row r="293">
      <c r="A293" s="3" t="n"/>
      <c r="B293" s="3" t="n"/>
      <c r="C293" s="3" t="n"/>
      <c r="D293" s="3" t="n"/>
      <c r="E293" s="3" t="n"/>
      <c r="F293" s="3" t="n"/>
      <c r="G293" s="3" t="n"/>
      <c r="H293" s="3" t="n"/>
      <c r="I293" s="3" t="n"/>
      <c r="J293" s="3" t="n"/>
      <c r="K293" s="3" t="n"/>
      <c r="L293" s="3" t="n"/>
      <c r="M293" s="3" t="n"/>
      <c r="N293" s="3" t="n"/>
    </row>
    <row r="294">
      <c r="A294" s="3" t="n"/>
      <c r="B294" s="3" t="n"/>
      <c r="C294" s="3" t="n"/>
      <c r="D294" s="3" t="n"/>
      <c r="E294" s="3" t="n"/>
      <c r="F294" s="3" t="n"/>
      <c r="G294" s="3" t="n"/>
      <c r="H294" s="3" t="n"/>
      <c r="I294" s="3" t="n"/>
      <c r="J294" s="3" t="n"/>
      <c r="K294" s="3" t="n"/>
      <c r="L294" s="3" t="n"/>
      <c r="M294" s="3" t="n"/>
      <c r="N294" s="3" t="n"/>
    </row>
    <row r="295">
      <c r="A295" s="3" t="n"/>
      <c r="B295" s="3" t="n"/>
      <c r="C295" s="3" t="n"/>
      <c r="D295" s="3" t="n"/>
      <c r="E295" s="3" t="n"/>
      <c r="F295" s="3" t="n"/>
      <c r="G295" s="3" t="n"/>
      <c r="H295" s="3" t="n"/>
      <c r="I295" s="3" t="n"/>
      <c r="J295" s="3" t="n"/>
      <c r="K295" s="3" t="n"/>
      <c r="L295" s="3" t="n"/>
      <c r="M295" s="3" t="n"/>
      <c r="N295" s="3" t="n"/>
    </row>
    <row r="296">
      <c r="A296" s="3" t="n"/>
      <c r="B296" s="3" t="n"/>
      <c r="C296" s="3" t="n"/>
      <c r="D296" s="3" t="n"/>
      <c r="E296" s="3" t="n"/>
      <c r="F296" s="3" t="n"/>
      <c r="G296" s="3" t="n"/>
      <c r="H296" s="3" t="n"/>
      <c r="I296" s="3" t="n"/>
      <c r="J296" s="3" t="n"/>
      <c r="K296" s="3" t="n"/>
      <c r="L296" s="3" t="n"/>
      <c r="M296" s="3" t="n"/>
      <c r="N296" s="3" t="n"/>
    </row>
    <row r="297">
      <c r="A297" s="3" t="n"/>
      <c r="B297" s="3" t="n"/>
      <c r="C297" s="3" t="n"/>
      <c r="D297" s="3" t="n"/>
      <c r="E297" s="3" t="n"/>
      <c r="F297" s="3" t="n"/>
      <c r="G297" s="3" t="n"/>
      <c r="H297" s="3" t="n"/>
      <c r="I297" s="3" t="n"/>
      <c r="J297" s="3" t="n"/>
      <c r="K297" s="3" t="n"/>
      <c r="L297" s="3" t="n"/>
      <c r="M297" s="3" t="n"/>
      <c r="N297" s="3" t="n"/>
    </row>
    <row r="298">
      <c r="A298" s="3" t="n"/>
      <c r="B298" s="3" t="n"/>
      <c r="C298" s="3" t="n"/>
      <c r="D298" s="3" t="n"/>
      <c r="E298" s="3" t="n"/>
      <c r="F298" s="3" t="n"/>
      <c r="G298" s="3" t="n"/>
      <c r="H298" s="3" t="n"/>
      <c r="I298" s="3" t="n"/>
      <c r="J298" s="3" t="n"/>
      <c r="K298" s="3" t="n"/>
      <c r="L298" s="3" t="n"/>
      <c r="M298" s="3" t="n"/>
      <c r="N298" s="3" t="n"/>
    </row>
    <row r="299">
      <c r="A299" s="3" t="n"/>
      <c r="B299" s="3" t="n"/>
      <c r="C299" s="3" t="n"/>
      <c r="D299" s="3" t="n"/>
      <c r="E299" s="3" t="n"/>
      <c r="F299" s="3" t="n"/>
      <c r="G299" s="3" t="n"/>
      <c r="H299" s="3" t="n"/>
      <c r="I299" s="3" t="n"/>
      <c r="J299" s="3" t="n"/>
      <c r="K299" s="3" t="n"/>
      <c r="L299" s="3" t="n"/>
      <c r="M299" s="3" t="n"/>
      <c r="N299" s="3" t="n"/>
    </row>
    <row r="300">
      <c r="A300" s="3" t="n"/>
      <c r="B300" s="3" t="n"/>
      <c r="C300" s="3" t="n"/>
      <c r="D300" s="3" t="n"/>
      <c r="E300" s="3" t="n"/>
      <c r="F300" s="3" t="n"/>
      <c r="G300" s="3" t="n"/>
      <c r="H300" s="3" t="n"/>
      <c r="I300" s="3" t="n"/>
      <c r="J300" s="3" t="n"/>
      <c r="K300" s="3" t="n"/>
      <c r="L300" s="3" t="n"/>
      <c r="M300" s="3" t="n"/>
      <c r="N300" s="3" t="n"/>
    </row>
    <row r="301">
      <c r="A301" s="3" t="n"/>
      <c r="B301" s="3" t="n"/>
      <c r="C301" s="3" t="n"/>
      <c r="D301" s="3" t="n"/>
      <c r="E301" s="3" t="n"/>
      <c r="F301" s="3" t="n"/>
      <c r="G301" s="3" t="n"/>
      <c r="H301" s="3" t="n"/>
      <c r="I301" s="3" t="n"/>
      <c r="J301" s="3" t="n"/>
      <c r="K301" s="3" t="n"/>
      <c r="L301" s="3" t="n"/>
      <c r="M301" s="3" t="n"/>
      <c r="N301" s="3" t="n"/>
    </row>
    <row r="302">
      <c r="A302" s="3" t="n"/>
      <c r="B302" s="3" t="n"/>
      <c r="C302" s="3" t="n"/>
      <c r="D302" s="3" t="n"/>
      <c r="E302" s="3" t="n"/>
      <c r="F302" s="3" t="n"/>
      <c r="G302" s="3" t="n"/>
      <c r="H302" s="3" t="n"/>
      <c r="I302" s="3" t="n"/>
      <c r="J302" s="3" t="n"/>
      <c r="K302" s="3" t="n"/>
      <c r="L302" s="3" t="n"/>
      <c r="M302" s="3" t="n"/>
      <c r="N302" s="3" t="n"/>
    </row>
    <row r="303">
      <c r="A303" s="3" t="n"/>
      <c r="B303" s="3" t="n"/>
      <c r="C303" s="3" t="n"/>
      <c r="D303" s="3" t="n"/>
      <c r="E303" s="3" t="n"/>
      <c r="F303" s="3" t="n"/>
      <c r="G303" s="3" t="n"/>
      <c r="H303" s="3" t="n"/>
      <c r="I303" s="3" t="n"/>
      <c r="J303" s="3" t="n"/>
      <c r="K303" s="3" t="n"/>
      <c r="L303" s="3" t="n"/>
      <c r="M303" s="3" t="n"/>
      <c r="N303" s="3" t="n"/>
    </row>
    <row r="304">
      <c r="A304" s="3" t="n"/>
      <c r="B304" s="3" t="n"/>
      <c r="C304" s="3" t="n"/>
      <c r="D304" s="3" t="n"/>
      <c r="E304" s="3" t="n"/>
      <c r="F304" s="3" t="n"/>
      <c r="G304" s="3" t="n"/>
      <c r="H304" s="3" t="n"/>
      <c r="I304" s="3" t="n"/>
      <c r="J304" s="3" t="n"/>
      <c r="K304" s="3" t="n"/>
      <c r="L304" s="3" t="n"/>
      <c r="M304" s="3" t="n"/>
      <c r="N304" s="3" t="n"/>
    </row>
    <row r="305">
      <c r="A305" s="3" t="n"/>
      <c r="B305" s="3" t="n"/>
      <c r="C305" s="3" t="n"/>
      <c r="D305" s="3" t="n"/>
      <c r="E305" s="3" t="n"/>
      <c r="F305" s="3" t="n"/>
      <c r="G305" s="3" t="n"/>
      <c r="H305" s="3" t="n"/>
      <c r="I305" s="3" t="n"/>
      <c r="J305" s="3" t="n"/>
      <c r="K305" s="3" t="n"/>
      <c r="L305" s="3" t="n"/>
      <c r="M305" s="3" t="n"/>
      <c r="N305" s="3" t="n"/>
    </row>
    <row r="306">
      <c r="A306" s="3" t="n"/>
      <c r="B306" s="3" t="n"/>
      <c r="C306" s="3" t="n"/>
      <c r="D306" s="3" t="n"/>
      <c r="E306" s="3" t="n"/>
      <c r="F306" s="3" t="n"/>
      <c r="G306" s="3" t="n"/>
      <c r="H306" s="3" t="n"/>
      <c r="I306" s="3" t="n"/>
      <c r="J306" s="3" t="n"/>
      <c r="K306" s="3" t="n"/>
      <c r="L306" s="3" t="n"/>
      <c r="M306" s="3" t="n"/>
      <c r="N306" s="3" t="n"/>
    </row>
    <row r="307">
      <c r="A307" s="3" t="n"/>
      <c r="B307" s="3" t="n"/>
      <c r="C307" s="3" t="n"/>
      <c r="D307" s="3" t="n"/>
      <c r="E307" s="3" t="n"/>
      <c r="F307" s="3" t="n"/>
      <c r="G307" s="3" t="n"/>
      <c r="H307" s="3" t="n"/>
      <c r="I307" s="3" t="n"/>
      <c r="J307" s="3" t="n"/>
      <c r="K307" s="3" t="n"/>
      <c r="L307" s="3" t="n"/>
      <c r="M307" s="3" t="n"/>
      <c r="N307" s="3" t="n"/>
    </row>
    <row r="308">
      <c r="A308" s="3" t="n"/>
      <c r="B308" s="3" t="n"/>
      <c r="C308" s="3" t="n"/>
      <c r="D308" s="3" t="n"/>
      <c r="E308" s="3" t="n"/>
      <c r="F308" s="3" t="n"/>
      <c r="G308" s="3" t="n"/>
      <c r="H308" s="3" t="n"/>
      <c r="I308" s="3" t="n"/>
      <c r="J308" s="3" t="n"/>
      <c r="K308" s="3" t="n"/>
      <c r="L308" s="3" t="n"/>
      <c r="M308" s="3" t="n"/>
      <c r="N308" s="3" t="n"/>
    </row>
    <row r="309">
      <c r="A309" s="3" t="n"/>
      <c r="B309" s="3" t="n"/>
      <c r="C309" s="3" t="n"/>
      <c r="D309" s="3" t="n"/>
      <c r="E309" s="3" t="n"/>
      <c r="F309" s="3" t="n"/>
      <c r="G309" s="3" t="n"/>
      <c r="H309" s="3" t="n"/>
      <c r="I309" s="3" t="n"/>
      <c r="J309" s="3" t="n"/>
      <c r="K309" s="3" t="n"/>
      <c r="L309" s="3" t="n"/>
      <c r="M309" s="3" t="n"/>
      <c r="N309" s="3" t="n"/>
    </row>
    <row r="310">
      <c r="A310" s="3" t="n"/>
      <c r="B310" s="3" t="n"/>
      <c r="C310" s="3" t="n"/>
      <c r="D310" s="3" t="n"/>
      <c r="E310" s="3" t="n"/>
      <c r="F310" s="3" t="n"/>
      <c r="G310" s="3" t="n"/>
      <c r="H310" s="3" t="n"/>
      <c r="I310" s="3" t="n"/>
      <c r="J310" s="3" t="n"/>
      <c r="K310" s="3" t="n"/>
      <c r="L310" s="3" t="n"/>
      <c r="M310" s="3" t="n"/>
      <c r="N310" s="3" t="n"/>
    </row>
    <row r="311">
      <c r="A311" s="3" t="n"/>
      <c r="B311" s="3" t="n"/>
      <c r="C311" s="3" t="n"/>
      <c r="D311" s="3" t="n"/>
      <c r="E311" s="3" t="n"/>
      <c r="F311" s="3" t="n"/>
      <c r="G311" s="3" t="n"/>
      <c r="H311" s="3" t="n"/>
      <c r="I311" s="3" t="n"/>
      <c r="J311" s="3" t="n"/>
      <c r="K311" s="3" t="n"/>
      <c r="L311" s="3" t="n"/>
      <c r="M311" s="3" t="n"/>
      <c r="N311" s="3" t="n"/>
    </row>
    <row r="312">
      <c r="A312" s="3" t="n"/>
      <c r="B312" s="3" t="n"/>
      <c r="C312" s="3" t="n"/>
      <c r="D312" s="3" t="n"/>
      <c r="E312" s="3" t="n"/>
      <c r="F312" s="3" t="n"/>
      <c r="G312" s="3" t="n"/>
      <c r="H312" s="3" t="n"/>
      <c r="I312" s="3" t="n"/>
      <c r="J312" s="3" t="n"/>
      <c r="K312" s="3" t="n"/>
      <c r="L312" s="3" t="n"/>
      <c r="M312" s="3" t="n"/>
      <c r="N312" s="3" t="n"/>
    </row>
    <row r="313">
      <c r="A313" s="3" t="n"/>
      <c r="B313" s="3" t="n"/>
      <c r="C313" s="3" t="n"/>
      <c r="D313" s="3" t="n"/>
      <c r="E313" s="3" t="n"/>
      <c r="F313" s="3" t="n"/>
      <c r="G313" s="3" t="n"/>
      <c r="H313" s="3" t="n"/>
      <c r="I313" s="3" t="n"/>
      <c r="J313" s="3" t="n"/>
      <c r="K313" s="3" t="n"/>
      <c r="L313" s="3" t="n"/>
      <c r="M313" s="3" t="n"/>
      <c r="N313" s="3" t="n"/>
    </row>
    <row r="314">
      <c r="A314" s="3" t="n"/>
      <c r="B314" s="3" t="n"/>
      <c r="C314" s="3" t="n"/>
      <c r="D314" s="3" t="n"/>
      <c r="E314" s="3" t="n"/>
      <c r="F314" s="3" t="n"/>
      <c r="G314" s="3" t="n"/>
      <c r="H314" s="3" t="n"/>
      <c r="I314" s="3" t="n"/>
      <c r="J314" s="3" t="n"/>
      <c r="K314" s="3" t="n"/>
      <c r="L314" s="3" t="n"/>
      <c r="M314" s="3" t="n"/>
      <c r="N314" s="3" t="n"/>
    </row>
    <row r="315">
      <c r="A315" s="3" t="n"/>
      <c r="B315" s="3" t="n"/>
      <c r="C315" s="3" t="n"/>
      <c r="D315" s="3" t="n"/>
      <c r="E315" s="3" t="n"/>
      <c r="F315" s="3" t="n"/>
      <c r="G315" s="3" t="n"/>
      <c r="H315" s="3" t="n"/>
      <c r="I315" s="3" t="n"/>
      <c r="J315" s="3" t="n"/>
      <c r="K315" s="3" t="n"/>
      <c r="L315" s="3" t="n"/>
      <c r="M315" s="3" t="n"/>
      <c r="N315" s="3" t="n"/>
    </row>
    <row r="316">
      <c r="A316" s="3" t="n"/>
      <c r="B316" s="3" t="n"/>
      <c r="C316" s="3" t="n"/>
      <c r="D316" s="3" t="n"/>
      <c r="E316" s="3" t="n"/>
      <c r="F316" s="3" t="n"/>
      <c r="G316" s="3" t="n"/>
      <c r="H316" s="3" t="n"/>
      <c r="I316" s="3" t="n"/>
      <c r="J316" s="3" t="n"/>
      <c r="K316" s="3" t="n"/>
      <c r="L316" s="3" t="n"/>
      <c r="M316" s="3" t="n"/>
      <c r="N316" s="3" t="n"/>
    </row>
    <row r="317">
      <c r="A317" s="3" t="n"/>
      <c r="B317" s="3" t="n"/>
      <c r="C317" s="3" t="n"/>
      <c r="D317" s="3" t="n"/>
      <c r="E317" s="3" t="n"/>
      <c r="F317" s="3" t="n"/>
      <c r="G317" s="3" t="n"/>
      <c r="H317" s="3" t="n"/>
      <c r="I317" s="3" t="n"/>
      <c r="J317" s="3" t="n"/>
      <c r="K317" s="3" t="n"/>
      <c r="L317" s="3" t="n"/>
      <c r="M317" s="3" t="n"/>
      <c r="N317" s="3" t="n"/>
    </row>
    <row r="318">
      <c r="A318" s="3" t="n"/>
      <c r="B318" s="3" t="n"/>
      <c r="C318" s="3" t="n"/>
      <c r="D318" s="3" t="n"/>
      <c r="E318" s="3" t="n"/>
      <c r="F318" s="3" t="n"/>
      <c r="G318" s="3" t="n"/>
      <c r="H318" s="3" t="n"/>
      <c r="I318" s="3" t="n"/>
      <c r="J318" s="3" t="n"/>
      <c r="K318" s="3" t="n"/>
      <c r="L318" s="3" t="n"/>
      <c r="M318" s="3" t="n"/>
      <c r="N318" s="3" t="n"/>
    </row>
    <row r="319">
      <c r="A319" s="3" t="n"/>
      <c r="B319" s="3" t="n"/>
      <c r="C319" s="3" t="n"/>
      <c r="D319" s="3" t="n"/>
      <c r="E319" s="3" t="n"/>
      <c r="F319" s="3" t="n"/>
      <c r="G319" s="3" t="n"/>
      <c r="H319" s="3" t="n"/>
      <c r="I319" s="3" t="n"/>
      <c r="J319" s="3" t="n"/>
      <c r="K319" s="3" t="n"/>
      <c r="L319" s="3" t="n"/>
      <c r="M319" s="3" t="n"/>
      <c r="N319" s="3" t="n"/>
    </row>
    <row r="320">
      <c r="A320" s="3" t="n"/>
      <c r="B320" s="3" t="n"/>
      <c r="C320" s="3" t="n"/>
      <c r="D320" s="3" t="n"/>
      <c r="E320" s="3" t="n"/>
      <c r="F320" s="3" t="n"/>
      <c r="G320" s="3" t="n"/>
      <c r="H320" s="3" t="n"/>
      <c r="I320" s="3" t="n"/>
      <c r="J320" s="3" t="n"/>
      <c r="K320" s="3" t="n"/>
      <c r="L320" s="3" t="n"/>
      <c r="M320" s="3" t="n"/>
      <c r="N320" s="3" t="n"/>
    </row>
    <row r="321">
      <c r="A321" s="3" t="n"/>
      <c r="B321" s="3" t="n"/>
      <c r="C321" s="3" t="n"/>
      <c r="D321" s="3" t="n"/>
      <c r="E321" s="3" t="n"/>
      <c r="F321" s="3" t="n"/>
      <c r="G321" s="3" t="n"/>
      <c r="H321" s="3" t="n"/>
      <c r="I321" s="3" t="n"/>
      <c r="J321" s="3" t="n"/>
      <c r="K321" s="3" t="n"/>
      <c r="L321" s="3" t="n"/>
      <c r="M321" s="3" t="n"/>
      <c r="N321" s="3" t="n"/>
    </row>
    <row r="322">
      <c r="A322" s="3" t="n"/>
      <c r="B322" s="3" t="n"/>
      <c r="C322" s="3" t="n"/>
      <c r="D322" s="3" t="n"/>
      <c r="E322" s="3" t="n"/>
      <c r="F322" s="3" t="n"/>
      <c r="G322" s="3" t="n"/>
      <c r="H322" s="3" t="n"/>
      <c r="I322" s="3" t="n"/>
      <c r="J322" s="3" t="n"/>
      <c r="K322" s="3" t="n"/>
      <c r="L322" s="3" t="n"/>
      <c r="M322" s="3" t="n"/>
      <c r="N322" s="3" t="n"/>
    </row>
    <row r="323">
      <c r="A323" s="3" t="n"/>
      <c r="B323" s="3" t="n"/>
      <c r="C323" s="3" t="n"/>
      <c r="D323" s="3" t="n"/>
      <c r="E323" s="3" t="n"/>
      <c r="F323" s="3" t="n"/>
      <c r="G323" s="3" t="n"/>
      <c r="H323" s="3" t="n"/>
      <c r="I323" s="3" t="n"/>
      <c r="J323" s="3" t="n"/>
      <c r="K323" s="3" t="n"/>
      <c r="L323" s="3" t="n"/>
      <c r="M323" s="3" t="n"/>
      <c r="N323" s="3" t="n"/>
    </row>
    <row r="324">
      <c r="A324" s="3" t="n"/>
      <c r="B324" s="3" t="n"/>
      <c r="C324" s="3" t="n"/>
      <c r="D324" s="3" t="n"/>
      <c r="E324" s="3" t="n"/>
      <c r="F324" s="3" t="n"/>
      <c r="G324" s="3" t="n"/>
      <c r="H324" s="3" t="n"/>
      <c r="I324" s="3" t="n"/>
      <c r="J324" s="3" t="n"/>
      <c r="K324" s="3" t="n"/>
      <c r="L324" s="3" t="n"/>
      <c r="M324" s="3" t="n"/>
      <c r="N324" s="3" t="n"/>
    </row>
    <row r="325">
      <c r="A325" s="3" t="n"/>
      <c r="B325" s="3" t="n"/>
      <c r="C325" s="3" t="n"/>
      <c r="D325" s="3" t="n"/>
      <c r="E325" s="3" t="n"/>
      <c r="F325" s="3" t="n"/>
      <c r="G325" s="3" t="n"/>
      <c r="H325" s="3" t="n"/>
      <c r="I325" s="3" t="n"/>
      <c r="J325" s="3" t="n"/>
      <c r="K325" s="3" t="n"/>
      <c r="L325" s="3" t="n"/>
      <c r="M325" s="3" t="n"/>
      <c r="N325" s="3" t="n"/>
    </row>
    <row r="326">
      <c r="A326" s="3" t="n"/>
      <c r="B326" s="3" t="n"/>
      <c r="C326" s="3" t="n"/>
      <c r="D326" s="3" t="n"/>
      <c r="E326" s="3" t="n"/>
      <c r="F326" s="3" t="n"/>
      <c r="G326" s="3" t="n"/>
      <c r="H326" s="3" t="n"/>
      <c r="I326" s="3" t="n"/>
      <c r="J326" s="3" t="n"/>
      <c r="K326" s="3" t="n"/>
      <c r="L326" s="3" t="n"/>
      <c r="M326" s="3" t="n"/>
      <c r="N326" s="3" t="n"/>
    </row>
    <row r="327">
      <c r="A327" s="3" t="n"/>
      <c r="B327" s="3" t="n"/>
      <c r="C327" s="3" t="n"/>
      <c r="D327" s="3" t="n"/>
      <c r="E327" s="3" t="n"/>
      <c r="F327" s="3" t="n"/>
      <c r="G327" s="3" t="n"/>
      <c r="H327" s="3" t="n"/>
      <c r="I327" s="3" t="n"/>
      <c r="J327" s="3" t="n"/>
      <c r="K327" s="3" t="n"/>
      <c r="L327" s="3" t="n"/>
      <c r="M327" s="3" t="n"/>
      <c r="N327" s="3" t="n"/>
    </row>
    <row r="328">
      <c r="A328" s="3" t="n"/>
      <c r="B328" s="3" t="n"/>
      <c r="C328" s="3" t="n"/>
      <c r="D328" s="3" t="n"/>
      <c r="E328" s="3" t="n"/>
      <c r="F328" s="3" t="n"/>
      <c r="G328" s="3" t="n"/>
      <c r="H328" s="3" t="n"/>
      <c r="I328" s="3" t="n"/>
      <c r="J328" s="3" t="n"/>
      <c r="K328" s="3" t="n"/>
      <c r="L328" s="3" t="n"/>
      <c r="M328" s="3" t="n"/>
      <c r="N328" s="3" t="n"/>
    </row>
    <row r="329">
      <c r="A329" s="3" t="n"/>
      <c r="B329" s="3" t="n"/>
      <c r="C329" s="3" t="n"/>
      <c r="D329" s="3" t="n"/>
      <c r="E329" s="3" t="n"/>
      <c r="F329" s="3" t="n"/>
      <c r="G329" s="3" t="n"/>
      <c r="H329" s="3" t="n"/>
      <c r="I329" s="3" t="n"/>
      <c r="J329" s="3" t="n"/>
      <c r="K329" s="3" t="n"/>
      <c r="L329" s="3" t="n"/>
      <c r="M329" s="3" t="n"/>
      <c r="N329" s="3" t="n"/>
    </row>
    <row r="330">
      <c r="A330" s="3" t="n"/>
      <c r="B330" s="3" t="n"/>
      <c r="C330" s="3" t="n"/>
      <c r="D330" s="3" t="n"/>
      <c r="E330" s="3" t="n"/>
      <c r="F330" s="3" t="n"/>
      <c r="G330" s="3" t="n"/>
      <c r="H330" s="3" t="n"/>
      <c r="I330" s="3" t="n"/>
      <c r="J330" s="3" t="n"/>
      <c r="K330" s="3" t="n"/>
      <c r="L330" s="3" t="n"/>
      <c r="M330" s="3" t="n"/>
      <c r="N330" s="3" t="n"/>
    </row>
    <row r="331">
      <c r="A331" s="3" t="n"/>
      <c r="B331" s="3" t="n"/>
      <c r="C331" s="3" t="n"/>
      <c r="D331" s="3" t="n"/>
      <c r="E331" s="3" t="n"/>
      <c r="F331" s="3" t="n"/>
      <c r="G331" s="3" t="n"/>
      <c r="H331" s="3" t="n"/>
      <c r="I331" s="3" t="n"/>
      <c r="J331" s="3" t="n"/>
      <c r="K331" s="3" t="n"/>
      <c r="L331" s="3" t="n"/>
      <c r="M331" s="3" t="n"/>
      <c r="N331" s="3" t="n"/>
    </row>
    <row r="332">
      <c r="A332" s="3" t="n"/>
      <c r="B332" s="3" t="n"/>
      <c r="C332" s="3" t="n"/>
      <c r="D332" s="3" t="n"/>
      <c r="E332" s="3" t="n"/>
      <c r="F332" s="3" t="n"/>
      <c r="G332" s="3" t="n"/>
      <c r="H332" s="3" t="n"/>
      <c r="I332" s="3" t="n"/>
      <c r="J332" s="3" t="n"/>
      <c r="K332" s="3" t="n"/>
      <c r="L332" s="3" t="n"/>
      <c r="M332" s="3" t="n"/>
      <c r="N332" s="3" t="n"/>
    </row>
    <row r="333">
      <c r="A333" s="3" t="n"/>
      <c r="B333" s="3" t="n"/>
      <c r="C333" s="3" t="n"/>
      <c r="D333" s="3" t="n"/>
      <c r="E333" s="3" t="n"/>
      <c r="F333" s="3" t="n"/>
      <c r="G333" s="3" t="n"/>
      <c r="H333" s="3" t="n"/>
      <c r="I333" s="3" t="n"/>
      <c r="J333" s="3" t="n"/>
      <c r="K333" s="3" t="n"/>
      <c r="L333" s="3" t="n"/>
      <c r="M333" s="3" t="n"/>
      <c r="N333" s="3" t="n"/>
    </row>
    <row r="334">
      <c r="A334" s="3" t="n"/>
      <c r="B334" s="3" t="n"/>
      <c r="C334" s="3" t="n"/>
      <c r="D334" s="3" t="n"/>
      <c r="E334" s="3" t="n"/>
      <c r="F334" s="3" t="n"/>
      <c r="G334" s="3" t="n"/>
      <c r="H334" s="3" t="n"/>
      <c r="I334" s="3" t="n"/>
      <c r="J334" s="3" t="n"/>
      <c r="K334" s="3" t="n"/>
      <c r="L334" s="3" t="n"/>
      <c r="M334" s="3" t="n"/>
      <c r="N334" s="3" t="n"/>
    </row>
    <row r="335">
      <c r="A335" s="3" t="n"/>
      <c r="B335" s="3" t="n"/>
      <c r="C335" s="3" t="n"/>
      <c r="D335" s="3" t="n"/>
      <c r="E335" s="3" t="n"/>
      <c r="F335" s="3" t="n"/>
      <c r="G335" s="3" t="n"/>
      <c r="H335" s="3" t="n"/>
      <c r="I335" s="3" t="n"/>
      <c r="J335" s="3" t="n"/>
      <c r="K335" s="3" t="n"/>
      <c r="L335" s="3" t="n"/>
      <c r="M335" s="3" t="n"/>
      <c r="N335" s="3" t="n"/>
    </row>
    <row r="336">
      <c r="A336" s="3" t="n"/>
      <c r="B336" s="3" t="n"/>
      <c r="C336" s="3" t="n"/>
      <c r="D336" s="3" t="n"/>
      <c r="E336" s="3" t="n"/>
      <c r="F336" s="3" t="n"/>
      <c r="G336" s="3" t="n"/>
      <c r="H336" s="3" t="n"/>
      <c r="I336" s="3" t="n"/>
      <c r="J336" s="3" t="n"/>
      <c r="K336" s="3" t="n"/>
      <c r="L336" s="3" t="n"/>
      <c r="M336" s="3" t="n"/>
      <c r="N336" s="3" t="n"/>
    </row>
    <row r="337">
      <c r="A337" s="3" t="n"/>
      <c r="B337" s="3" t="n"/>
      <c r="C337" s="3" t="n"/>
      <c r="D337" s="3" t="n"/>
      <c r="E337" s="3" t="n"/>
      <c r="F337" s="3" t="n"/>
      <c r="G337" s="3" t="n"/>
      <c r="H337" s="3" t="n"/>
      <c r="I337" s="3" t="n"/>
      <c r="J337" s="3" t="n"/>
      <c r="K337" s="3" t="n"/>
      <c r="L337" s="3" t="n"/>
      <c r="M337" s="3" t="n"/>
      <c r="N337" s="3" t="n"/>
    </row>
    <row r="338">
      <c r="A338" s="3" t="n"/>
      <c r="B338" s="3" t="n"/>
      <c r="C338" s="3" t="n"/>
      <c r="D338" s="3" t="n"/>
      <c r="E338" s="3" t="n"/>
      <c r="F338" s="3" t="n"/>
      <c r="G338" s="3" t="n"/>
      <c r="H338" s="3" t="n"/>
      <c r="I338" s="3" t="n"/>
      <c r="J338" s="3" t="n"/>
      <c r="K338" s="3" t="n"/>
      <c r="L338" s="3" t="n"/>
      <c r="M338" s="3" t="n"/>
      <c r="N338" s="3" t="n"/>
    </row>
    <row r="339">
      <c r="A339" s="3" t="n"/>
      <c r="B339" s="3" t="n"/>
      <c r="C339" s="3" t="n"/>
      <c r="D339" s="3" t="n"/>
      <c r="E339" s="3" t="n"/>
      <c r="F339" s="3" t="n"/>
      <c r="G339" s="3" t="n"/>
      <c r="H339" s="3" t="n"/>
      <c r="I339" s="3" t="n"/>
      <c r="J339" s="3" t="n"/>
      <c r="K339" s="3" t="n"/>
      <c r="L339" s="3" t="n"/>
      <c r="M339" s="3" t="n"/>
      <c r="N339" s="3" t="n"/>
    </row>
    <row r="340">
      <c r="A340" s="3" t="n"/>
      <c r="B340" s="3" t="n"/>
      <c r="C340" s="3" t="n"/>
      <c r="D340" s="3" t="n"/>
      <c r="E340" s="3" t="n"/>
      <c r="F340" s="3" t="n"/>
      <c r="G340" s="3" t="n"/>
      <c r="H340" s="3" t="n"/>
      <c r="I340" s="3" t="n"/>
      <c r="J340" s="3" t="n"/>
      <c r="K340" s="3" t="n"/>
      <c r="L340" s="3" t="n"/>
      <c r="M340" s="3" t="n"/>
      <c r="N340" s="3" t="n"/>
    </row>
    <row r="341">
      <c r="A341" s="3" t="n"/>
      <c r="B341" s="3" t="n"/>
      <c r="C341" s="3" t="n"/>
      <c r="D341" s="3" t="n"/>
      <c r="E341" s="3" t="n"/>
      <c r="F341" s="3" t="n"/>
      <c r="G341" s="3" t="n"/>
      <c r="H341" s="3" t="n"/>
      <c r="I341" s="3" t="n"/>
      <c r="J341" s="3" t="n"/>
      <c r="K341" s="3" t="n"/>
      <c r="L341" s="3" t="n"/>
      <c r="M341" s="3" t="n"/>
      <c r="N341" s="3" t="n"/>
    </row>
    <row r="342">
      <c r="A342" s="3" t="n"/>
      <c r="B342" s="3" t="n"/>
      <c r="C342" s="3" t="n"/>
      <c r="D342" s="3" t="n"/>
      <c r="E342" s="3" t="n"/>
      <c r="F342" s="3" t="n"/>
      <c r="G342" s="3" t="n"/>
      <c r="H342" s="3" t="n"/>
      <c r="I342" s="3" t="n"/>
      <c r="J342" s="3" t="n"/>
      <c r="K342" s="3" t="n"/>
      <c r="L342" s="3" t="n"/>
      <c r="M342" s="3" t="n"/>
      <c r="N342" s="3" t="n"/>
    </row>
    <row r="343">
      <c r="A343" s="3" t="n"/>
      <c r="B343" s="3" t="n"/>
      <c r="C343" s="3" t="n"/>
      <c r="D343" s="3" t="n"/>
      <c r="E343" s="3" t="n"/>
      <c r="F343" s="3" t="n"/>
      <c r="G343" s="3" t="n"/>
      <c r="H343" s="3" t="n"/>
      <c r="I343" s="3" t="n"/>
      <c r="J343" s="3" t="n"/>
      <c r="K343" s="3" t="n"/>
      <c r="L343" s="3" t="n"/>
      <c r="M343" s="3" t="n"/>
      <c r="N343" s="3" t="n"/>
    </row>
    <row r="344">
      <c r="A344" s="3" t="n"/>
      <c r="B344" s="3" t="n"/>
      <c r="C344" s="3" t="n"/>
      <c r="D344" s="3" t="n"/>
      <c r="E344" s="3" t="n"/>
      <c r="F344" s="3" t="n"/>
      <c r="G344" s="3" t="n"/>
      <c r="H344" s="3" t="n"/>
      <c r="I344" s="3" t="n"/>
      <c r="J344" s="3" t="n"/>
      <c r="K344" s="3" t="n"/>
      <c r="L344" s="3" t="n"/>
      <c r="M344" s="3" t="n"/>
      <c r="N344" s="3" t="n"/>
    </row>
    <row r="345">
      <c r="A345" s="3" t="n"/>
      <c r="B345" s="3" t="n"/>
      <c r="C345" s="3" t="n"/>
      <c r="D345" s="3" t="n"/>
      <c r="E345" s="3" t="n"/>
      <c r="F345" s="3" t="n"/>
      <c r="G345" s="3" t="n"/>
      <c r="H345" s="3" t="n"/>
      <c r="I345" s="3" t="n"/>
      <c r="J345" s="3" t="n"/>
      <c r="K345" s="3" t="n"/>
      <c r="L345" s="3" t="n"/>
      <c r="M345" s="3" t="n"/>
      <c r="N345" s="3" t="n"/>
    </row>
    <row r="346">
      <c r="A346" s="3" t="n"/>
      <c r="B346" s="3" t="n"/>
      <c r="C346" s="3" t="n"/>
      <c r="D346" s="3" t="n"/>
      <c r="E346" s="3" t="n"/>
      <c r="F346" s="3" t="n"/>
      <c r="G346" s="3" t="n"/>
      <c r="H346" s="3" t="n"/>
      <c r="I346" s="3" t="n"/>
      <c r="J346" s="3" t="n"/>
      <c r="K346" s="3" t="n"/>
      <c r="L346" s="3" t="n"/>
      <c r="M346" s="3" t="n"/>
      <c r="N346" s="3" t="n"/>
    </row>
    <row r="347">
      <c r="A347" s="3" t="n"/>
      <c r="B347" s="3" t="n"/>
      <c r="C347" s="3" t="n"/>
      <c r="D347" s="3" t="n"/>
      <c r="E347" s="3" t="n"/>
      <c r="F347" s="3" t="n"/>
      <c r="G347" s="3" t="n"/>
      <c r="H347" s="3" t="n"/>
      <c r="I347" s="3" t="n"/>
      <c r="J347" s="3" t="n"/>
      <c r="K347" s="3" t="n"/>
      <c r="L347" s="3" t="n"/>
      <c r="M347" s="3" t="n"/>
      <c r="N347" s="3" t="n"/>
    </row>
    <row r="348">
      <c r="A348" s="3" t="n"/>
      <c r="B348" s="3" t="n"/>
      <c r="C348" s="3" t="n"/>
      <c r="D348" s="3" t="n"/>
      <c r="E348" s="3" t="n"/>
      <c r="F348" s="3" t="n"/>
      <c r="G348" s="3" t="n"/>
      <c r="H348" s="3" t="n"/>
      <c r="I348" s="3" t="n"/>
      <c r="J348" s="3" t="n"/>
      <c r="K348" s="3" t="n"/>
      <c r="L348" s="3" t="n"/>
      <c r="M348" s="3" t="n"/>
      <c r="N348" s="3" t="n"/>
    </row>
    <row r="349">
      <c r="A349" s="3" t="n"/>
      <c r="B349" s="3" t="n"/>
      <c r="C349" s="3" t="n"/>
      <c r="D349" s="3" t="n"/>
      <c r="E349" s="3" t="n"/>
      <c r="F349" s="3" t="n"/>
      <c r="G349" s="3" t="n"/>
      <c r="H349" s="3" t="n"/>
      <c r="I349" s="3" t="n"/>
      <c r="J349" s="3" t="n"/>
      <c r="K349" s="3" t="n"/>
      <c r="L349" s="3" t="n"/>
      <c r="M349" s="3" t="n"/>
      <c r="N349" s="3" t="n"/>
    </row>
    <row r="350">
      <c r="A350" s="3" t="n"/>
      <c r="B350" s="3" t="n"/>
      <c r="C350" s="3" t="n"/>
      <c r="D350" s="3" t="n"/>
      <c r="E350" s="3" t="n"/>
      <c r="F350" s="3" t="n"/>
      <c r="G350" s="3" t="n"/>
      <c r="H350" s="3" t="n"/>
      <c r="I350" s="3" t="n"/>
      <c r="J350" s="3" t="n"/>
      <c r="K350" s="3" t="n"/>
      <c r="L350" s="3" t="n"/>
      <c r="M350" s="3" t="n"/>
      <c r="N350" s="3" t="n"/>
    </row>
    <row r="351">
      <c r="A351" s="3" t="n"/>
      <c r="B351" s="3" t="n"/>
      <c r="C351" s="3" t="n"/>
      <c r="D351" s="3" t="n"/>
      <c r="E351" s="3" t="n"/>
      <c r="F351" s="3" t="n"/>
      <c r="G351" s="3" t="n"/>
      <c r="H351" s="3" t="n"/>
      <c r="I351" s="3" t="n"/>
      <c r="J351" s="3" t="n"/>
      <c r="K351" s="3" t="n"/>
      <c r="L351" s="3" t="n"/>
      <c r="M351" s="3" t="n"/>
      <c r="N351" s="3" t="n"/>
    </row>
    <row r="352">
      <c r="A352" s="3" t="n"/>
      <c r="B352" s="3" t="n"/>
      <c r="C352" s="3" t="n"/>
      <c r="D352" s="3" t="n"/>
      <c r="E352" s="3" t="n"/>
      <c r="F352" s="3" t="n"/>
      <c r="G352" s="3" t="n"/>
      <c r="H352" s="3" t="n"/>
      <c r="I352" s="3" t="n"/>
      <c r="J352" s="3" t="n"/>
      <c r="K352" s="3" t="n"/>
      <c r="L352" s="3" t="n"/>
      <c r="M352" s="3" t="n"/>
      <c r="N352" s="3" t="n"/>
    </row>
    <row r="353">
      <c r="A353" s="3" t="n"/>
      <c r="B353" s="3" t="n"/>
      <c r="C353" s="3" t="n"/>
      <c r="D353" s="3" t="n"/>
      <c r="E353" s="3" t="n"/>
      <c r="F353" s="3" t="n"/>
      <c r="G353" s="3" t="n"/>
      <c r="H353" s="3" t="n"/>
      <c r="I353" s="3" t="n"/>
      <c r="J353" s="3" t="n"/>
      <c r="K353" s="3" t="n"/>
      <c r="L353" s="3" t="n"/>
      <c r="M353" s="3" t="n"/>
      <c r="N353" s="3" t="n"/>
    </row>
    <row r="354">
      <c r="A354" s="3" t="n"/>
      <c r="B354" s="3" t="n"/>
      <c r="C354" s="3" t="n"/>
      <c r="D354" s="3" t="n"/>
      <c r="E354" s="3" t="n"/>
      <c r="F354" s="3" t="n"/>
      <c r="G354" s="3" t="n"/>
      <c r="H354" s="3" t="n"/>
      <c r="I354" s="3" t="n"/>
      <c r="J354" s="3" t="n"/>
      <c r="K354" s="3" t="n"/>
      <c r="L354" s="3" t="n"/>
      <c r="M354" s="3" t="n"/>
      <c r="N354" s="3" t="n"/>
    </row>
    <row r="355">
      <c r="A355" s="3" t="n"/>
      <c r="B355" s="3" t="n"/>
      <c r="C355" s="3" t="n"/>
      <c r="D355" s="3" t="n"/>
      <c r="E355" s="3" t="n"/>
      <c r="F355" s="3" t="n"/>
      <c r="G355" s="3" t="n"/>
      <c r="H355" s="3" t="n"/>
      <c r="I355" s="3" t="n"/>
      <c r="J355" s="3" t="n"/>
      <c r="K355" s="3" t="n"/>
      <c r="L355" s="3" t="n"/>
      <c r="M355" s="3" t="n"/>
      <c r="N355" s="3" t="n"/>
    </row>
    <row r="356">
      <c r="A356" s="3" t="n"/>
      <c r="B356" s="3" t="n"/>
      <c r="C356" s="3" t="n"/>
      <c r="D356" s="3" t="n"/>
      <c r="E356" s="3" t="n"/>
      <c r="F356" s="3" t="n"/>
      <c r="G356" s="3" t="n"/>
      <c r="H356" s="3" t="n"/>
      <c r="I356" s="3" t="n"/>
      <c r="J356" s="3" t="n"/>
      <c r="K356" s="3" t="n"/>
      <c r="L356" s="3" t="n"/>
      <c r="M356" s="3" t="n"/>
      <c r="N356" s="3" t="n"/>
    </row>
    <row r="357">
      <c r="A357" s="3" t="n"/>
      <c r="B357" s="3" t="n"/>
      <c r="C357" s="3" t="n"/>
      <c r="D357" s="3" t="n"/>
      <c r="E357" s="3" t="n"/>
      <c r="F357" s="3" t="n"/>
      <c r="G357" s="3" t="n"/>
      <c r="H357" s="3" t="n"/>
      <c r="I357" s="3" t="n"/>
      <c r="J357" s="3" t="n"/>
      <c r="K357" s="3" t="n"/>
      <c r="L357" s="3" t="n"/>
      <c r="M357" s="3" t="n"/>
      <c r="N357" s="3" t="n"/>
    </row>
    <row r="358">
      <c r="A358" s="3" t="n"/>
      <c r="B358" s="3" t="n"/>
      <c r="C358" s="3" t="n"/>
      <c r="D358" s="3" t="n"/>
      <c r="E358" s="3" t="n"/>
      <c r="F358" s="3" t="n"/>
      <c r="G358" s="3" t="n"/>
      <c r="H358" s="3" t="n"/>
      <c r="I358" s="3" t="n"/>
      <c r="J358" s="3" t="n"/>
      <c r="K358" s="3" t="n"/>
      <c r="L358" s="3" t="n"/>
      <c r="M358" s="3" t="n"/>
      <c r="N358" s="3" t="n"/>
    </row>
    <row r="359">
      <c r="A359" s="3" t="n"/>
      <c r="B359" s="3" t="n"/>
      <c r="C359" s="3" t="n"/>
      <c r="D359" s="3" t="n"/>
      <c r="E359" s="3" t="n"/>
      <c r="F359" s="3" t="n"/>
      <c r="G359" s="3" t="n"/>
      <c r="H359" s="3" t="n"/>
      <c r="I359" s="3" t="n"/>
      <c r="J359" s="3" t="n"/>
      <c r="K359" s="3" t="n"/>
      <c r="L359" s="3" t="n"/>
      <c r="M359" s="3" t="n"/>
      <c r="N359" s="3" t="n"/>
    </row>
    <row r="360">
      <c r="A360" s="3" t="n"/>
      <c r="B360" s="3" t="n"/>
      <c r="C360" s="3" t="n"/>
      <c r="D360" s="3" t="n"/>
      <c r="E360" s="3" t="n"/>
      <c r="F360" s="3" t="n"/>
      <c r="G360" s="3" t="n"/>
      <c r="H360" s="3" t="n"/>
      <c r="I360" s="3" t="n"/>
      <c r="J360" s="3" t="n"/>
      <c r="K360" s="3" t="n"/>
      <c r="L360" s="3" t="n"/>
      <c r="M360" s="3" t="n"/>
      <c r="N360" s="3" t="n"/>
    </row>
    <row r="361">
      <c r="A361" s="3" t="n"/>
      <c r="B361" s="3" t="n"/>
      <c r="C361" s="3" t="n"/>
      <c r="D361" s="3" t="n"/>
      <c r="E361" s="3" t="n"/>
      <c r="F361" s="3" t="n"/>
      <c r="G361" s="3" t="n"/>
      <c r="H361" s="3" t="n"/>
      <c r="I361" s="3" t="n"/>
      <c r="J361" s="3" t="n"/>
      <c r="K361" s="3" t="n"/>
      <c r="L361" s="3" t="n"/>
      <c r="M361" s="3" t="n"/>
      <c r="N361" s="3" t="n"/>
    </row>
    <row r="362">
      <c r="A362" s="3" t="n"/>
      <c r="B362" s="3" t="n"/>
      <c r="C362" s="3" t="n"/>
      <c r="D362" s="3" t="n"/>
      <c r="E362" s="3" t="n"/>
      <c r="F362" s="3" t="n"/>
      <c r="G362" s="3" t="n"/>
      <c r="H362" s="3" t="n"/>
      <c r="I362" s="3" t="n"/>
      <c r="J362" s="3" t="n"/>
      <c r="K362" s="3" t="n"/>
      <c r="L362" s="3" t="n"/>
      <c r="M362" s="3" t="n"/>
      <c r="N362" s="3" t="n"/>
    </row>
    <row r="363">
      <c r="A363" s="3" t="n"/>
      <c r="B363" s="3" t="n"/>
      <c r="C363" s="3" t="n"/>
      <c r="D363" s="3" t="n"/>
      <c r="E363" s="3" t="n"/>
      <c r="F363" s="3" t="n"/>
      <c r="G363" s="3" t="n"/>
      <c r="H363" s="3" t="n"/>
      <c r="I363" s="3" t="n"/>
      <c r="J363" s="3" t="n"/>
      <c r="K363" s="3" t="n"/>
      <c r="L363" s="3" t="n"/>
      <c r="M363" s="3" t="n"/>
      <c r="N363" s="3" t="n"/>
    </row>
    <row r="364">
      <c r="A364" s="3" t="n"/>
      <c r="B364" s="3" t="n"/>
      <c r="C364" s="3" t="n"/>
      <c r="D364" s="3" t="n"/>
      <c r="E364" s="3" t="n"/>
      <c r="F364" s="3" t="n"/>
      <c r="G364" s="3" t="n"/>
      <c r="H364" s="3" t="n"/>
      <c r="I364" s="3" t="n"/>
      <c r="J364" s="3" t="n"/>
      <c r="K364" s="3" t="n"/>
      <c r="L364" s="3" t="n"/>
      <c r="M364" s="3" t="n"/>
      <c r="N364" s="3" t="n"/>
    </row>
    <row r="365">
      <c r="A365" s="3" t="n"/>
      <c r="B365" s="3" t="n"/>
      <c r="C365" s="3" t="n"/>
      <c r="D365" s="3" t="n"/>
      <c r="E365" s="3" t="n"/>
      <c r="F365" s="3" t="n"/>
      <c r="G365" s="3" t="n"/>
      <c r="H365" s="3" t="n"/>
      <c r="I365" s="3" t="n"/>
      <c r="J365" s="3" t="n"/>
      <c r="K365" s="3" t="n"/>
      <c r="L365" s="3" t="n"/>
      <c r="M365" s="3" t="n"/>
      <c r="N365" s="3" t="n"/>
    </row>
    <row r="366">
      <c r="A366" s="3" t="n"/>
      <c r="B366" s="3" t="n"/>
      <c r="C366" s="3" t="n"/>
      <c r="D366" s="3" t="n"/>
      <c r="E366" s="3" t="n"/>
      <c r="F366" s="3" t="n"/>
      <c r="G366" s="3" t="n"/>
      <c r="H366" s="3" t="n"/>
      <c r="I366" s="3" t="n"/>
      <c r="J366" s="3" t="n"/>
      <c r="K366" s="3" t="n"/>
      <c r="L366" s="3" t="n"/>
      <c r="M366" s="3" t="n"/>
      <c r="N366" s="3" t="n"/>
    </row>
    <row r="367">
      <c r="A367" s="3" t="n"/>
      <c r="B367" s="3" t="n"/>
      <c r="C367" s="3" t="n"/>
      <c r="D367" s="3" t="n"/>
      <c r="E367" s="3" t="n"/>
      <c r="F367" s="3" t="n"/>
      <c r="G367" s="3" t="n"/>
      <c r="H367" s="3" t="n"/>
      <c r="I367" s="3" t="n"/>
      <c r="J367" s="3" t="n"/>
      <c r="K367" s="3" t="n"/>
      <c r="L367" s="3" t="n"/>
      <c r="M367" s="3" t="n"/>
      <c r="N367" s="3" t="n"/>
    </row>
    <row r="368">
      <c r="A368" s="3" t="n"/>
      <c r="B368" s="3" t="n"/>
      <c r="C368" s="3" t="n"/>
      <c r="D368" s="3" t="n"/>
      <c r="E368" s="3" t="n"/>
      <c r="F368" s="3" t="n"/>
      <c r="G368" s="3" t="n"/>
      <c r="H368" s="3" t="n"/>
      <c r="I368" s="3" t="n"/>
      <c r="J368" s="3" t="n"/>
      <c r="K368" s="3" t="n"/>
      <c r="L368" s="3" t="n"/>
      <c r="M368" s="3" t="n"/>
      <c r="N368" s="3" t="n"/>
    </row>
    <row r="369">
      <c r="A369" s="3" t="n"/>
      <c r="B369" s="3" t="n"/>
      <c r="C369" s="3" t="n"/>
      <c r="D369" s="3" t="n"/>
      <c r="E369" s="3" t="n"/>
      <c r="F369" s="3" t="n"/>
      <c r="G369" s="3" t="n"/>
      <c r="H369" s="3" t="n"/>
      <c r="I369" s="3" t="n"/>
      <c r="J369" s="3" t="n"/>
      <c r="K369" s="3" t="n"/>
      <c r="L369" s="3" t="n"/>
      <c r="M369" s="3" t="n"/>
      <c r="N369" s="3" t="n"/>
    </row>
    <row r="370">
      <c r="A370" s="3" t="n"/>
      <c r="B370" s="3" t="n"/>
      <c r="C370" s="3" t="n"/>
      <c r="D370" s="3" t="n"/>
      <c r="E370" s="3" t="n"/>
      <c r="F370" s="3" t="n"/>
      <c r="G370" s="3" t="n"/>
      <c r="H370" s="3" t="n"/>
      <c r="I370" s="3" t="n"/>
      <c r="J370" s="3" t="n"/>
      <c r="K370" s="3" t="n"/>
      <c r="L370" s="3" t="n"/>
      <c r="M370" s="3" t="n"/>
      <c r="N370" s="3" t="n"/>
    </row>
    <row r="371">
      <c r="A371" s="3" t="n"/>
      <c r="B371" s="3" t="n"/>
      <c r="C371" s="3" t="n"/>
      <c r="D371" s="3" t="n"/>
      <c r="E371" s="3" t="n"/>
      <c r="F371" s="3" t="n"/>
      <c r="G371" s="3" t="n"/>
      <c r="H371" s="3" t="n"/>
      <c r="I371" s="3" t="n"/>
      <c r="J371" s="3" t="n"/>
      <c r="K371" s="3" t="n"/>
      <c r="L371" s="3" t="n"/>
      <c r="M371" s="3" t="n"/>
      <c r="N371" s="3" t="n"/>
    </row>
    <row r="372">
      <c r="A372" s="3" t="n"/>
      <c r="B372" s="3" t="n"/>
      <c r="C372" s="3" t="n"/>
      <c r="D372" s="3" t="n"/>
      <c r="E372" s="3" t="n"/>
      <c r="F372" s="3" t="n"/>
      <c r="G372" s="3" t="n"/>
      <c r="H372" s="3" t="n"/>
      <c r="I372" s="3" t="n"/>
      <c r="J372" s="3" t="n"/>
      <c r="K372" s="3" t="n"/>
      <c r="L372" s="3" t="n"/>
      <c r="M372" s="3" t="n"/>
      <c r="N372" s="3" t="n"/>
    </row>
    <row r="373">
      <c r="A373" s="3" t="n"/>
      <c r="B373" s="3" t="n"/>
      <c r="C373" s="3" t="n"/>
      <c r="D373" s="3" t="n"/>
      <c r="E373" s="3" t="n"/>
      <c r="F373" s="3" t="n"/>
      <c r="G373" s="3" t="n"/>
      <c r="H373" s="3" t="n"/>
      <c r="I373" s="3" t="n"/>
      <c r="J373" s="3" t="n"/>
      <c r="K373" s="3" t="n"/>
      <c r="L373" s="3" t="n"/>
      <c r="M373" s="3" t="n"/>
      <c r="N373" s="3" t="n"/>
    </row>
    <row r="374">
      <c r="A374" s="3" t="n"/>
      <c r="B374" s="3" t="n"/>
      <c r="C374" s="3" t="n"/>
      <c r="D374" s="3" t="n"/>
      <c r="E374" s="3" t="n"/>
      <c r="F374" s="3" t="n"/>
      <c r="G374" s="3" t="n"/>
      <c r="H374" s="3" t="n"/>
      <c r="I374" s="3" t="n"/>
      <c r="J374" s="3" t="n"/>
      <c r="K374" s="3" t="n"/>
      <c r="L374" s="3" t="n"/>
      <c r="M374" s="3" t="n"/>
      <c r="N374" s="3" t="n"/>
    </row>
    <row r="375">
      <c r="A375" s="3" t="n"/>
      <c r="B375" s="3" t="n"/>
      <c r="C375" s="3" t="n"/>
      <c r="D375" s="3" t="n"/>
      <c r="E375" s="3" t="n"/>
      <c r="F375" s="3" t="n"/>
      <c r="G375" s="3" t="n"/>
      <c r="H375" s="3" t="n"/>
      <c r="I375" s="3" t="n"/>
      <c r="J375" s="3" t="n"/>
      <c r="K375" s="3" t="n"/>
      <c r="L375" s="3" t="n"/>
      <c r="M375" s="3" t="n"/>
      <c r="N375" s="3" t="n"/>
    </row>
    <row r="376">
      <c r="A376" s="3" t="n"/>
      <c r="B376" s="3" t="n"/>
      <c r="C376" s="3" t="n"/>
      <c r="D376" s="3" t="n"/>
      <c r="E376" s="3" t="n"/>
      <c r="F376" s="3" t="n"/>
      <c r="G376" s="3" t="n"/>
      <c r="H376" s="3" t="n"/>
      <c r="I376" s="3" t="n"/>
      <c r="J376" s="3" t="n"/>
      <c r="K376" s="3" t="n"/>
      <c r="L376" s="3" t="n"/>
      <c r="M376" s="3" t="n"/>
      <c r="N376" s="3" t="n"/>
    </row>
    <row r="377">
      <c r="A377" s="3" t="n"/>
      <c r="B377" s="3" t="n"/>
      <c r="C377" s="3" t="n"/>
      <c r="D377" s="3" t="n"/>
      <c r="E377" s="3" t="n"/>
      <c r="F377" s="3" t="n"/>
      <c r="G377" s="3" t="n"/>
      <c r="H377" s="3" t="n"/>
      <c r="I377" s="3" t="n"/>
      <c r="J377" s="3" t="n"/>
      <c r="K377" s="3" t="n"/>
      <c r="L377" s="3" t="n"/>
      <c r="M377" s="3" t="n"/>
      <c r="N377" s="3" t="n"/>
    </row>
    <row r="378">
      <c r="A378" s="3" t="n"/>
      <c r="B378" s="3" t="n"/>
      <c r="C378" s="3" t="n"/>
      <c r="D378" s="3" t="n"/>
      <c r="E378" s="3" t="n"/>
      <c r="F378" s="3" t="n"/>
      <c r="G378" s="3" t="n"/>
      <c r="H378" s="3" t="n"/>
      <c r="I378" s="3" t="n"/>
      <c r="J378" s="3" t="n"/>
      <c r="K378" s="3" t="n"/>
      <c r="L378" s="3" t="n"/>
      <c r="M378" s="3" t="n"/>
      <c r="N378" s="3" t="n"/>
    </row>
    <row r="379">
      <c r="A379" s="3" t="n"/>
      <c r="B379" s="3" t="n"/>
      <c r="C379" s="3" t="n"/>
      <c r="D379" s="3" t="n"/>
      <c r="E379" s="3" t="n"/>
      <c r="F379" s="3" t="n"/>
      <c r="G379" s="3" t="n"/>
      <c r="H379" s="3" t="n"/>
      <c r="I379" s="3" t="n"/>
      <c r="J379" s="3" t="n"/>
      <c r="K379" s="3" t="n"/>
      <c r="L379" s="3" t="n"/>
      <c r="M379" s="3" t="n"/>
      <c r="N379" s="3" t="n"/>
    </row>
    <row r="380">
      <c r="A380" s="3" t="n"/>
      <c r="B380" s="3" t="n"/>
      <c r="C380" s="3" t="n"/>
      <c r="D380" s="3" t="n"/>
      <c r="E380" s="3" t="n"/>
      <c r="F380" s="3" t="n"/>
      <c r="G380" s="3" t="n"/>
      <c r="H380" s="3" t="n"/>
      <c r="I380" s="3" t="n"/>
      <c r="J380" s="3" t="n"/>
      <c r="K380" s="3" t="n"/>
      <c r="L380" s="3" t="n"/>
      <c r="M380" s="3" t="n"/>
      <c r="N380" s="3" t="n"/>
    </row>
    <row r="381">
      <c r="A381" s="3" t="n"/>
      <c r="B381" s="3" t="n"/>
      <c r="C381" s="3" t="n"/>
      <c r="D381" s="3" t="n"/>
      <c r="E381" s="3" t="n"/>
      <c r="F381" s="3" t="n"/>
      <c r="G381" s="3" t="n"/>
      <c r="H381" s="3" t="n"/>
      <c r="I381" s="3" t="n"/>
      <c r="J381" s="3" t="n"/>
      <c r="K381" s="3" t="n"/>
      <c r="L381" s="3" t="n"/>
      <c r="M381" s="3" t="n"/>
      <c r="N381" s="3" t="n"/>
    </row>
    <row r="382">
      <c r="A382" s="3" t="n"/>
      <c r="B382" s="3" t="n"/>
      <c r="C382" s="3" t="n"/>
      <c r="D382" s="3" t="n"/>
      <c r="E382" s="3" t="n"/>
      <c r="F382" s="3" t="n"/>
      <c r="G382" s="3" t="n"/>
      <c r="H382" s="3" t="n"/>
      <c r="I382" s="3" t="n"/>
      <c r="J382" s="3" t="n"/>
      <c r="K382" s="3" t="n"/>
      <c r="L382" s="3" t="n"/>
      <c r="M382" s="3" t="n"/>
      <c r="N382" s="3" t="n"/>
    </row>
    <row r="383">
      <c r="A383" s="3" t="n"/>
      <c r="B383" s="3" t="n"/>
      <c r="C383" s="3" t="n"/>
      <c r="D383" s="3" t="n"/>
      <c r="E383" s="3" t="n"/>
      <c r="F383" s="3" t="n"/>
      <c r="G383" s="3" t="n"/>
      <c r="H383" s="3" t="n"/>
      <c r="I383" s="3" t="n"/>
      <c r="J383" s="3" t="n"/>
      <c r="K383" s="3" t="n"/>
      <c r="L383" s="3" t="n"/>
      <c r="M383" s="3" t="n"/>
      <c r="N383" s="3" t="n"/>
    </row>
    <row r="384">
      <c r="A384" s="3" t="n"/>
      <c r="B384" s="3" t="n"/>
      <c r="C384" s="3" t="n"/>
      <c r="D384" s="3" t="n"/>
      <c r="E384" s="3" t="n"/>
      <c r="F384" s="3" t="n"/>
      <c r="G384" s="3" t="n"/>
      <c r="H384" s="3" t="n"/>
      <c r="I384" s="3" t="n"/>
      <c r="J384" s="3" t="n"/>
      <c r="K384" s="3" t="n"/>
      <c r="L384" s="3" t="n"/>
      <c r="M384" s="3" t="n"/>
      <c r="N384" s="3" t="n"/>
    </row>
    <row r="385">
      <c r="A385" s="3" t="n"/>
      <c r="B385" s="3" t="n"/>
      <c r="C385" s="3" t="n"/>
      <c r="D385" s="3" t="n"/>
      <c r="E385" s="3" t="n"/>
      <c r="F385" s="3" t="n"/>
      <c r="G385" s="3" t="n"/>
      <c r="H385" s="3" t="n"/>
      <c r="I385" s="3" t="n"/>
      <c r="J385" s="3" t="n"/>
      <c r="K385" s="3" t="n"/>
      <c r="L385" s="3" t="n"/>
      <c r="M385" s="3" t="n"/>
      <c r="N385" s="3" t="n"/>
    </row>
    <row r="386">
      <c r="A386" s="3" t="n"/>
      <c r="B386" s="3" t="n"/>
      <c r="C386" s="3" t="n"/>
      <c r="D386" s="3" t="n"/>
      <c r="E386" s="3" t="n"/>
      <c r="F386" s="3" t="n"/>
      <c r="G386" s="3" t="n"/>
      <c r="H386" s="3" t="n"/>
      <c r="I386" s="3" t="n"/>
      <c r="J386" s="3" t="n"/>
      <c r="K386" s="3" t="n"/>
      <c r="L386" s="3" t="n"/>
      <c r="M386" s="3" t="n"/>
      <c r="N386" s="3" t="n"/>
    </row>
    <row r="387">
      <c r="A387" s="3" t="n"/>
      <c r="B387" s="3" t="n"/>
      <c r="C387" s="3" t="n"/>
      <c r="D387" s="3" t="n"/>
      <c r="E387" s="3" t="n"/>
      <c r="F387" s="3" t="n"/>
      <c r="G387" s="3" t="n"/>
      <c r="H387" s="3" t="n"/>
      <c r="I387" s="3" t="n"/>
      <c r="J387" s="3" t="n"/>
      <c r="K387" s="3" t="n"/>
      <c r="L387" s="3" t="n"/>
      <c r="M387" s="3" t="n"/>
      <c r="N387" s="3" t="n"/>
    </row>
    <row r="388">
      <c r="A388" s="3" t="n"/>
      <c r="B388" s="3" t="n"/>
      <c r="C388" s="3" t="n"/>
      <c r="D388" s="3" t="n"/>
      <c r="E388" s="3" t="n"/>
      <c r="F388" s="3" t="n"/>
      <c r="G388" s="3" t="n"/>
      <c r="H388" s="3" t="n"/>
      <c r="I388" s="3" t="n"/>
      <c r="J388" s="3" t="n"/>
      <c r="K388" s="3" t="n"/>
      <c r="L388" s="3" t="n"/>
      <c r="M388" s="3" t="n"/>
      <c r="N388" s="3" t="n"/>
    </row>
    <row r="389">
      <c r="A389" s="3" t="n"/>
      <c r="B389" s="3" t="n"/>
      <c r="C389" s="3" t="n"/>
      <c r="D389" s="3" t="n"/>
      <c r="E389" s="3" t="n"/>
      <c r="F389" s="3" t="n"/>
      <c r="G389" s="3" t="n"/>
      <c r="H389" s="3" t="n"/>
      <c r="I389" s="3" t="n"/>
      <c r="J389" s="3" t="n"/>
      <c r="K389" s="3" t="n"/>
      <c r="L389" s="3" t="n"/>
      <c r="M389" s="3" t="n"/>
      <c r="N389" s="3" t="n"/>
    </row>
    <row r="390">
      <c r="A390" s="3" t="n"/>
      <c r="B390" s="3" t="n"/>
      <c r="C390" s="3" t="n"/>
      <c r="D390" s="3" t="n"/>
      <c r="E390" s="3" t="n"/>
      <c r="F390" s="3" t="n"/>
      <c r="G390" s="3" t="n"/>
      <c r="H390" s="3" t="n"/>
      <c r="I390" s="3" t="n"/>
      <c r="J390" s="3" t="n"/>
      <c r="K390" s="3" t="n"/>
      <c r="L390" s="3" t="n"/>
      <c r="M390" s="3" t="n"/>
      <c r="N390" s="3" t="n"/>
    </row>
    <row r="391">
      <c r="A391" s="3" t="n"/>
      <c r="B391" s="3" t="n"/>
      <c r="C391" s="3" t="n"/>
      <c r="D391" s="3" t="n"/>
      <c r="E391" s="3" t="n"/>
      <c r="F391" s="3" t="n"/>
      <c r="G391" s="3" t="n"/>
      <c r="H391" s="3" t="n"/>
      <c r="I391" s="3" t="n"/>
      <c r="J391" s="3" t="n"/>
      <c r="K391" s="3" t="n"/>
      <c r="L391" s="3" t="n"/>
      <c r="M391" s="3" t="n"/>
      <c r="N391" s="3" t="n"/>
    </row>
    <row r="392">
      <c r="A392" s="3" t="n"/>
      <c r="B392" s="3" t="n"/>
      <c r="C392" s="3" t="n"/>
      <c r="D392" s="3" t="n"/>
      <c r="E392" s="3" t="n"/>
      <c r="F392" s="3" t="n"/>
      <c r="G392" s="3" t="n"/>
      <c r="H392" s="3" t="n"/>
      <c r="I392" s="3" t="n"/>
      <c r="J392" s="3" t="n"/>
      <c r="K392" s="3" t="n"/>
      <c r="L392" s="3" t="n"/>
      <c r="M392" s="3" t="n"/>
      <c r="N392" s="3" t="n"/>
    </row>
    <row r="393">
      <c r="A393" s="3" t="n"/>
      <c r="B393" s="3" t="n"/>
      <c r="C393" s="3" t="n"/>
      <c r="D393" s="3" t="n"/>
      <c r="E393" s="3" t="n"/>
      <c r="F393" s="3" t="n"/>
      <c r="G393" s="3" t="n"/>
      <c r="H393" s="3" t="n"/>
      <c r="I393" s="3" t="n"/>
      <c r="J393" s="3" t="n"/>
      <c r="K393" s="3" t="n"/>
      <c r="L393" s="3" t="n"/>
      <c r="M393" s="3" t="n"/>
      <c r="N393" s="3" t="n"/>
    </row>
    <row r="394">
      <c r="A394" s="3" t="n"/>
      <c r="B394" s="3" t="n"/>
      <c r="C394" s="3" t="n"/>
      <c r="D394" s="3" t="n"/>
      <c r="E394" s="3" t="n"/>
      <c r="F394" s="3" t="n"/>
      <c r="G394" s="3" t="n"/>
      <c r="H394" s="3" t="n"/>
      <c r="I394" s="3" t="n"/>
      <c r="J394" s="3" t="n"/>
      <c r="K394" s="3" t="n"/>
      <c r="L394" s="3" t="n"/>
      <c r="M394" s="3" t="n"/>
      <c r="N394" s="3" t="n"/>
    </row>
    <row r="395">
      <c r="A395" s="3" t="n"/>
      <c r="B395" s="3" t="n"/>
      <c r="C395" s="3" t="n"/>
      <c r="D395" s="3" t="n"/>
      <c r="E395" s="3" t="n"/>
      <c r="F395" s="3" t="n"/>
      <c r="G395" s="3" t="n"/>
      <c r="H395" s="3" t="n"/>
      <c r="I395" s="3" t="n"/>
      <c r="J395" s="3" t="n"/>
      <c r="K395" s="3" t="n"/>
      <c r="L395" s="3" t="n"/>
      <c r="M395" s="3" t="n"/>
      <c r="N395" s="3" t="n"/>
    </row>
    <row r="396">
      <c r="A396" s="3" t="n"/>
      <c r="B396" s="3" t="n"/>
      <c r="C396" s="3" t="n"/>
      <c r="D396" s="3" t="n"/>
      <c r="E396" s="3" t="n"/>
      <c r="F396" s="3" t="n"/>
      <c r="G396" s="3" t="n"/>
      <c r="H396" s="3" t="n"/>
      <c r="I396" s="3" t="n"/>
      <c r="J396" s="3" t="n"/>
      <c r="K396" s="3" t="n"/>
      <c r="L396" s="3" t="n"/>
      <c r="M396" s="3" t="n"/>
      <c r="N396" s="3" t="n"/>
    </row>
    <row r="397">
      <c r="A397" s="3" t="n"/>
      <c r="B397" s="3" t="n"/>
      <c r="C397" s="3" t="n"/>
      <c r="D397" s="3" t="n"/>
      <c r="E397" s="3" t="n"/>
      <c r="F397" s="3" t="n"/>
      <c r="G397" s="3" t="n"/>
      <c r="H397" s="3" t="n"/>
      <c r="I397" s="3" t="n"/>
      <c r="J397" s="3" t="n"/>
      <c r="K397" s="3" t="n"/>
      <c r="L397" s="3" t="n"/>
      <c r="M397" s="3" t="n"/>
      <c r="N397" s="3" t="n"/>
    </row>
    <row r="398">
      <c r="A398" s="3" t="n"/>
      <c r="B398" s="3" t="n"/>
      <c r="C398" s="3" t="n"/>
      <c r="D398" s="3" t="n"/>
      <c r="E398" s="3" t="n"/>
      <c r="F398" s="3" t="n"/>
      <c r="G398" s="3" t="n"/>
      <c r="H398" s="3" t="n"/>
      <c r="I398" s="3" t="n"/>
      <c r="J398" s="3" t="n"/>
      <c r="K398" s="3" t="n"/>
      <c r="L398" s="3" t="n"/>
      <c r="M398" s="3" t="n"/>
      <c r="N398" s="3" t="n"/>
    </row>
    <row r="399">
      <c r="A399" s="3" t="n"/>
      <c r="B399" s="3" t="n"/>
      <c r="C399" s="3" t="n"/>
      <c r="D399" s="3" t="n"/>
      <c r="E399" s="3" t="n"/>
      <c r="F399" s="3" t="n"/>
      <c r="G399" s="3" t="n"/>
      <c r="H399" s="3" t="n"/>
      <c r="I399" s="3" t="n"/>
      <c r="J399" s="3" t="n"/>
      <c r="K399" s="3" t="n"/>
      <c r="L399" s="3" t="n"/>
      <c r="M399" s="3" t="n"/>
      <c r="N399" s="3" t="n"/>
    </row>
    <row r="400">
      <c r="A400" s="3" t="n"/>
      <c r="B400" s="3" t="n"/>
      <c r="C400" s="3" t="n"/>
      <c r="D400" s="3" t="n"/>
      <c r="E400" s="3" t="n"/>
      <c r="F400" s="3" t="n"/>
      <c r="G400" s="3" t="n"/>
      <c r="H400" s="3" t="n"/>
      <c r="I400" s="3" t="n"/>
      <c r="J400" s="3" t="n"/>
      <c r="K400" s="3" t="n"/>
      <c r="L400" s="3" t="n"/>
      <c r="M400" s="3" t="n"/>
      <c r="N400" s="3" t="n"/>
    </row>
    <row r="401">
      <c r="A401" s="3" t="n"/>
      <c r="B401" s="3" t="n"/>
      <c r="C401" s="3" t="n"/>
      <c r="D401" s="3" t="n"/>
      <c r="E401" s="3" t="n"/>
      <c r="F401" s="3" t="n"/>
      <c r="G401" s="3" t="n"/>
      <c r="H401" s="3" t="n"/>
      <c r="I401" s="3" t="n"/>
      <c r="J401" s="3" t="n"/>
      <c r="K401" s="3" t="n"/>
      <c r="L401" s="3" t="n"/>
      <c r="M401" s="3" t="n"/>
      <c r="N401" s="3" t="n"/>
    </row>
    <row r="402">
      <c r="A402" s="3" t="n"/>
      <c r="B402" s="3" t="n"/>
      <c r="C402" s="3" t="n"/>
      <c r="D402" s="3" t="n"/>
      <c r="E402" s="3" t="n"/>
      <c r="F402" s="3" t="n"/>
      <c r="G402" s="3" t="n"/>
      <c r="H402" s="3" t="n"/>
      <c r="I402" s="3" t="n"/>
      <c r="J402" s="3" t="n"/>
      <c r="K402" s="3" t="n"/>
      <c r="L402" s="3" t="n"/>
      <c r="M402" s="3" t="n"/>
      <c r="N402" s="3" t="n"/>
    </row>
    <row r="403">
      <c r="A403" s="3" t="n"/>
      <c r="B403" s="3" t="n"/>
      <c r="C403" s="3" t="n"/>
      <c r="D403" s="3" t="n"/>
      <c r="E403" s="3" t="n"/>
      <c r="F403" s="3" t="n"/>
      <c r="G403" s="3" t="n"/>
      <c r="H403" s="3" t="n"/>
      <c r="I403" s="3" t="n"/>
      <c r="J403" s="3" t="n"/>
      <c r="K403" s="3" t="n"/>
      <c r="L403" s="3" t="n"/>
      <c r="M403" s="3" t="n"/>
      <c r="N403" s="3" t="n"/>
    </row>
    <row r="404">
      <c r="A404" s="3" t="n"/>
      <c r="B404" s="3" t="n"/>
      <c r="C404" s="3" t="n"/>
      <c r="D404" s="3" t="n"/>
      <c r="E404" s="3" t="n"/>
      <c r="F404" s="3" t="n"/>
      <c r="G404" s="3" t="n"/>
      <c r="H404" s="3" t="n"/>
      <c r="I404" s="3" t="n"/>
      <c r="J404" s="3" t="n"/>
      <c r="K404" s="3" t="n"/>
      <c r="L404" s="3" t="n"/>
      <c r="M404" s="3" t="n"/>
      <c r="N404" s="3" t="n"/>
    </row>
    <row r="405">
      <c r="A405" s="3" t="n"/>
      <c r="B405" s="3" t="n"/>
      <c r="C405" s="3" t="n"/>
      <c r="D405" s="3" t="n"/>
      <c r="E405" s="3" t="n"/>
      <c r="F405" s="3" t="n"/>
      <c r="G405" s="3" t="n"/>
      <c r="H405" s="3" t="n"/>
      <c r="I405" s="3" t="n"/>
      <c r="J405" s="3" t="n"/>
      <c r="K405" s="3" t="n"/>
      <c r="L405" s="3" t="n"/>
      <c r="M405" s="3" t="n"/>
      <c r="N405" s="3" t="n"/>
    </row>
    <row r="406">
      <c r="A406" s="3" t="n"/>
      <c r="B406" s="3" t="n"/>
      <c r="C406" s="3" t="n"/>
      <c r="D406" s="3" t="n"/>
      <c r="E406" s="3" t="n"/>
      <c r="F406" s="3" t="n"/>
      <c r="G406" s="3" t="n"/>
      <c r="H406" s="3" t="n"/>
      <c r="I406" s="3" t="n"/>
      <c r="J406" s="3" t="n"/>
      <c r="K406" s="3" t="n"/>
      <c r="L406" s="3" t="n"/>
      <c r="M406" s="3" t="n"/>
      <c r="N406" s="3" t="n"/>
    </row>
    <row r="407">
      <c r="A407" s="3" t="n"/>
      <c r="B407" s="3" t="n"/>
      <c r="C407" s="3" t="n"/>
      <c r="D407" s="3" t="n"/>
      <c r="E407" s="3" t="n"/>
      <c r="F407" s="3" t="n"/>
      <c r="G407" s="3" t="n"/>
      <c r="H407" s="3" t="n"/>
      <c r="I407" s="3" t="n"/>
      <c r="J407" s="3" t="n"/>
      <c r="K407" s="3" t="n"/>
      <c r="L407" s="3" t="n"/>
      <c r="M407" s="3" t="n"/>
      <c r="N407" s="3" t="n"/>
    </row>
    <row r="408">
      <c r="A408" s="3" t="n"/>
      <c r="B408" s="3" t="n"/>
      <c r="C408" s="3" t="n"/>
      <c r="D408" s="3" t="n"/>
      <c r="E408" s="3" t="n"/>
      <c r="F408" s="3" t="n"/>
      <c r="G408" s="3" t="n"/>
      <c r="H408" s="3" t="n"/>
      <c r="I408" s="3" t="n"/>
      <c r="J408" s="3" t="n"/>
      <c r="K408" s="3" t="n"/>
      <c r="L408" s="3" t="n"/>
      <c r="M408" s="3" t="n"/>
      <c r="N408" s="3" t="n"/>
    </row>
    <row r="409">
      <c r="A409" s="3" t="n"/>
      <c r="B409" s="3" t="n"/>
      <c r="C409" s="3" t="n"/>
      <c r="D409" s="3" t="n"/>
      <c r="E409" s="3" t="n"/>
      <c r="F409" s="3" t="n"/>
      <c r="G409" s="3" t="n"/>
      <c r="H409" s="3" t="n"/>
      <c r="I409" s="3" t="n"/>
      <c r="J409" s="3" t="n"/>
      <c r="K409" s="3" t="n"/>
      <c r="L409" s="3" t="n"/>
      <c r="M409" s="3" t="n"/>
      <c r="N409" s="3" t="n"/>
    </row>
    <row r="410">
      <c r="A410" s="3" t="n"/>
      <c r="B410" s="3" t="n"/>
      <c r="C410" s="3" t="n"/>
      <c r="D410" s="3" t="n"/>
      <c r="E410" s="3" t="n"/>
      <c r="F410" s="3" t="n"/>
      <c r="G410" s="3" t="n"/>
      <c r="H410" s="3" t="n"/>
      <c r="I410" s="3" t="n"/>
      <c r="J410" s="3" t="n"/>
      <c r="K410" s="3" t="n"/>
      <c r="L410" s="3" t="n"/>
      <c r="M410" s="3" t="n"/>
      <c r="N410" s="3" t="n"/>
    </row>
    <row r="411">
      <c r="A411" s="3" t="n"/>
      <c r="B411" s="3" t="n"/>
      <c r="C411" s="3" t="n"/>
      <c r="D411" s="3" t="n"/>
      <c r="E411" s="3" t="n"/>
      <c r="F411" s="3" t="n"/>
      <c r="G411" s="3" t="n"/>
      <c r="H411" s="3" t="n"/>
      <c r="I411" s="3" t="n"/>
      <c r="J411" s="3" t="n"/>
      <c r="K411" s="3" t="n"/>
      <c r="L411" s="3" t="n"/>
      <c r="M411" s="3" t="n"/>
      <c r="N411" s="3" t="n"/>
    </row>
    <row r="412">
      <c r="A412" s="3" t="n"/>
      <c r="B412" s="3" t="n"/>
      <c r="C412" s="3" t="n"/>
      <c r="D412" s="3" t="n"/>
      <c r="E412" s="3" t="n"/>
      <c r="F412" s="3" t="n"/>
      <c r="G412" s="3" t="n"/>
      <c r="H412" s="3" t="n"/>
      <c r="I412" s="3" t="n"/>
      <c r="J412" s="3" t="n"/>
      <c r="K412" s="3" t="n"/>
      <c r="L412" s="3" t="n"/>
      <c r="M412" s="3" t="n"/>
      <c r="N412" s="3" t="n"/>
    </row>
    <row r="413">
      <c r="A413" s="3" t="n"/>
      <c r="B413" s="3" t="n"/>
      <c r="C413" s="3" t="n"/>
      <c r="D413" s="3" t="n"/>
      <c r="E413" s="3" t="n"/>
      <c r="F413" s="3" t="n"/>
      <c r="G413" s="3" t="n"/>
      <c r="H413" s="3" t="n"/>
      <c r="I413" s="3" t="n"/>
      <c r="J413" s="3" t="n"/>
      <c r="K413" s="3" t="n"/>
      <c r="L413" s="3" t="n"/>
      <c r="M413" s="3" t="n"/>
      <c r="N413" s="3" t="n"/>
    </row>
    <row r="414">
      <c r="A414" s="3" t="n"/>
      <c r="B414" s="3" t="n"/>
      <c r="C414" s="3" t="n"/>
      <c r="D414" s="3" t="n"/>
      <c r="E414" s="3" t="n"/>
      <c r="F414" s="3" t="n"/>
      <c r="G414" s="3" t="n"/>
      <c r="H414" s="3" t="n"/>
      <c r="I414" s="3" t="n"/>
      <c r="J414" s="3" t="n"/>
      <c r="K414" s="3" t="n"/>
      <c r="L414" s="3" t="n"/>
      <c r="M414" s="3" t="n"/>
      <c r="N414" s="3" t="n"/>
    </row>
    <row r="415">
      <c r="A415" s="3" t="n"/>
      <c r="B415" s="3" t="n"/>
      <c r="C415" s="3" t="n"/>
      <c r="D415" s="3" t="n"/>
      <c r="E415" s="3" t="n"/>
      <c r="F415" s="3" t="n"/>
      <c r="G415" s="3" t="n"/>
      <c r="H415" s="3" t="n"/>
      <c r="I415" s="3" t="n"/>
      <c r="J415" s="3" t="n"/>
      <c r="K415" s="3" t="n"/>
      <c r="L415" s="3" t="n"/>
      <c r="M415" s="3" t="n"/>
      <c r="N415" s="3" t="n"/>
    </row>
    <row r="416">
      <c r="A416" s="3" t="n"/>
      <c r="B416" s="3" t="n"/>
      <c r="C416" s="3" t="n"/>
      <c r="D416" s="3" t="n"/>
      <c r="E416" s="3" t="n"/>
      <c r="F416" s="3" t="n"/>
      <c r="G416" s="3" t="n"/>
      <c r="H416" s="3" t="n"/>
      <c r="I416" s="3" t="n"/>
      <c r="J416" s="3" t="n"/>
      <c r="K416" s="3" t="n"/>
      <c r="L416" s="3" t="n"/>
      <c r="M416" s="3" t="n"/>
      <c r="N416" s="3" t="n"/>
    </row>
    <row r="417">
      <c r="A417" s="3" t="n"/>
      <c r="B417" s="3" t="n"/>
      <c r="C417" s="3" t="n"/>
      <c r="D417" s="3" t="n"/>
      <c r="E417" s="3" t="n"/>
      <c r="F417" s="3" t="n"/>
      <c r="G417" s="3" t="n"/>
      <c r="H417" s="3" t="n"/>
      <c r="I417" s="3" t="n"/>
      <c r="J417" s="3" t="n"/>
      <c r="K417" s="3" t="n"/>
      <c r="L417" s="3" t="n"/>
      <c r="M417" s="3" t="n"/>
      <c r="N417" s="3" t="n"/>
    </row>
    <row r="418">
      <c r="A418" s="3" t="n"/>
      <c r="B418" s="3" t="n"/>
      <c r="C418" s="3" t="n"/>
      <c r="D418" s="3" t="n"/>
      <c r="E418" s="3" t="n"/>
      <c r="F418" s="3" t="n"/>
      <c r="G418" s="3" t="n"/>
      <c r="H418" s="3" t="n"/>
      <c r="I418" s="3" t="n"/>
      <c r="J418" s="3" t="n"/>
      <c r="K418" s="3" t="n"/>
      <c r="L418" s="3" t="n"/>
      <c r="M418" s="3" t="n"/>
      <c r="N418" s="3" t="n"/>
    </row>
    <row r="419">
      <c r="A419" s="3" t="n"/>
      <c r="B419" s="3" t="n"/>
      <c r="C419" s="3" t="n"/>
      <c r="D419" s="3" t="n"/>
      <c r="E419" s="3" t="n"/>
      <c r="F419" s="3" t="n"/>
      <c r="G419" s="3" t="n"/>
      <c r="H419" s="3" t="n"/>
      <c r="I419" s="3" t="n"/>
      <c r="J419" s="3" t="n"/>
      <c r="K419" s="3" t="n"/>
      <c r="L419" s="3" t="n"/>
      <c r="M419" s="3" t="n"/>
      <c r="N419" s="3" t="n"/>
    </row>
    <row r="420">
      <c r="A420" s="3" t="n"/>
      <c r="B420" s="3" t="n"/>
      <c r="C420" s="3" t="n"/>
      <c r="D420" s="3" t="n"/>
      <c r="E420" s="3" t="n"/>
      <c r="F420" s="3" t="n"/>
      <c r="G420" s="3" t="n"/>
      <c r="H420" s="3" t="n"/>
      <c r="I420" s="3" t="n"/>
      <c r="J420" s="3" t="n"/>
      <c r="K420" s="3" t="n"/>
      <c r="L420" s="3" t="n"/>
      <c r="M420" s="3" t="n"/>
      <c r="N420" s="3" t="n"/>
    </row>
    <row r="421">
      <c r="A421" s="3" t="n"/>
      <c r="B421" s="3" t="n"/>
      <c r="C421" s="3" t="n"/>
      <c r="D421" s="3" t="n"/>
      <c r="E421" s="3" t="n"/>
      <c r="F421" s="3" t="n"/>
      <c r="G421" s="3" t="n"/>
      <c r="H421" s="3" t="n"/>
      <c r="I421" s="3" t="n"/>
      <c r="J421" s="3" t="n"/>
      <c r="K421" s="3" t="n"/>
      <c r="L421" s="3" t="n"/>
      <c r="M421" s="3" t="n"/>
      <c r="N421" s="3" t="n"/>
    </row>
    <row r="422">
      <c r="A422" s="3" t="n"/>
      <c r="B422" s="3" t="n"/>
      <c r="C422" s="3" t="n"/>
      <c r="D422" s="3" t="n"/>
      <c r="E422" s="3" t="n"/>
      <c r="F422" s="3" t="n"/>
      <c r="G422" s="3" t="n"/>
      <c r="H422" s="3" t="n"/>
      <c r="I422" s="3" t="n"/>
      <c r="J422" s="3" t="n"/>
      <c r="K422" s="3" t="n"/>
      <c r="L422" s="3" t="n"/>
      <c r="M422" s="3" t="n"/>
      <c r="N422" s="3" t="n"/>
    </row>
    <row r="423">
      <c r="A423" s="3" t="n"/>
      <c r="B423" s="3" t="n"/>
      <c r="C423" s="3" t="n"/>
      <c r="D423" s="3" t="n"/>
      <c r="E423" s="3" t="n"/>
      <c r="F423" s="3" t="n"/>
      <c r="G423" s="3" t="n"/>
      <c r="H423" s="3" t="n"/>
      <c r="I423" s="3" t="n"/>
      <c r="J423" s="3" t="n"/>
      <c r="K423" s="3" t="n"/>
      <c r="L423" s="3" t="n"/>
      <c r="M423" s="3" t="n"/>
      <c r="N423" s="3" t="n"/>
    </row>
    <row r="424">
      <c r="A424" s="3" t="n"/>
      <c r="B424" s="3" t="n"/>
      <c r="C424" s="3" t="n"/>
      <c r="D424" s="3" t="n"/>
      <c r="E424" s="3" t="n"/>
      <c r="F424" s="3" t="n"/>
      <c r="G424" s="3" t="n"/>
      <c r="H424" s="3" t="n"/>
      <c r="I424" s="3" t="n"/>
      <c r="J424" s="3" t="n"/>
      <c r="K424" s="3" t="n"/>
      <c r="L424" s="3" t="n"/>
      <c r="M424" s="3" t="n"/>
      <c r="N424" s="3" t="n"/>
    </row>
    <row r="425">
      <c r="A425" s="3" t="n"/>
      <c r="B425" s="3" t="n"/>
      <c r="C425" s="3" t="n"/>
      <c r="D425" s="3" t="n"/>
      <c r="E425" s="3" t="n"/>
      <c r="F425" s="3" t="n"/>
      <c r="G425" s="3" t="n"/>
      <c r="H425" s="3" t="n"/>
      <c r="I425" s="3" t="n"/>
      <c r="J425" s="3" t="n"/>
      <c r="K425" s="3" t="n"/>
      <c r="L425" s="3" t="n"/>
      <c r="M425" s="3" t="n"/>
      <c r="N425" s="3" t="n"/>
    </row>
    <row r="426">
      <c r="A426" s="3" t="n"/>
      <c r="B426" s="3" t="n"/>
      <c r="C426" s="3" t="n"/>
      <c r="D426" s="3" t="n"/>
      <c r="E426" s="3" t="n"/>
      <c r="F426" s="3" t="n"/>
      <c r="G426" s="3" t="n"/>
      <c r="H426" s="3" t="n"/>
      <c r="I426" s="3" t="n"/>
      <c r="J426" s="3" t="n"/>
      <c r="K426" s="3" t="n"/>
      <c r="L426" s="3" t="n"/>
      <c r="M426" s="3" t="n"/>
      <c r="N426" s="3" t="n"/>
    </row>
    <row r="427">
      <c r="A427" s="3" t="n"/>
      <c r="B427" s="3" t="n"/>
      <c r="C427" s="3" t="n"/>
      <c r="D427" s="3" t="n"/>
      <c r="E427" s="3" t="n"/>
      <c r="F427" s="3" t="n"/>
      <c r="G427" s="3" t="n"/>
      <c r="H427" s="3" t="n"/>
      <c r="I427" s="3" t="n"/>
      <c r="J427" s="3" t="n"/>
      <c r="K427" s="3" t="n"/>
      <c r="L427" s="3" t="n"/>
      <c r="M427" s="3" t="n"/>
      <c r="N427" s="3" t="n"/>
    </row>
    <row r="428">
      <c r="A428" s="3" t="n"/>
      <c r="B428" s="3" t="n"/>
      <c r="C428" s="3" t="n"/>
      <c r="D428" s="3" t="n"/>
      <c r="E428" s="3" t="n"/>
      <c r="F428" s="3" t="n"/>
      <c r="G428" s="3" t="n"/>
      <c r="H428" s="3" t="n"/>
      <c r="I428" s="3" t="n"/>
      <c r="J428" s="3" t="n"/>
      <c r="K428" s="3" t="n"/>
      <c r="L428" s="3" t="n"/>
      <c r="M428" s="3" t="n"/>
      <c r="N428" s="3" t="n"/>
    </row>
    <row r="429">
      <c r="A429" s="3" t="n"/>
      <c r="B429" s="3" t="n"/>
      <c r="C429" s="3" t="n"/>
      <c r="D429" s="3" t="n"/>
      <c r="E429" s="3" t="n"/>
      <c r="F429" s="3" t="n"/>
      <c r="G429" s="3" t="n"/>
      <c r="H429" s="3" t="n"/>
      <c r="I429" s="3" t="n"/>
      <c r="J429" s="3" t="n"/>
      <c r="K429" s="3" t="n"/>
      <c r="L429" s="3" t="n"/>
      <c r="M429" s="3" t="n"/>
      <c r="N429" s="3" t="n"/>
    </row>
    <row r="430">
      <c r="A430" s="3" t="n"/>
      <c r="B430" s="3" t="n"/>
      <c r="C430" s="3" t="n"/>
      <c r="D430" s="3" t="n"/>
      <c r="E430" s="3" t="n"/>
      <c r="F430" s="3" t="n"/>
      <c r="G430" s="3" t="n"/>
      <c r="H430" s="3" t="n"/>
      <c r="I430" s="3" t="n"/>
      <c r="J430" s="3" t="n"/>
      <c r="K430" s="3" t="n"/>
      <c r="L430" s="3" t="n"/>
      <c r="M430" s="3" t="n"/>
      <c r="N430" s="3" t="n"/>
    </row>
    <row r="431">
      <c r="A431" s="3" t="n"/>
      <c r="B431" s="3" t="n"/>
      <c r="C431" s="3" t="n"/>
      <c r="D431" s="3" t="n"/>
      <c r="E431" s="3" t="n"/>
      <c r="F431" s="3" t="n"/>
      <c r="G431" s="3" t="n"/>
      <c r="H431" s="3" t="n"/>
      <c r="I431" s="3" t="n"/>
      <c r="J431" s="3" t="n"/>
      <c r="K431" s="3" t="n"/>
      <c r="L431" s="3" t="n"/>
      <c r="M431" s="3" t="n"/>
      <c r="N431" s="3" t="n"/>
    </row>
    <row r="432">
      <c r="A432" s="3" t="n"/>
      <c r="B432" s="3" t="n"/>
      <c r="C432" s="3" t="n"/>
      <c r="D432" s="3" t="n"/>
      <c r="E432" s="3" t="n"/>
      <c r="F432" s="3" t="n"/>
      <c r="G432" s="3" t="n"/>
      <c r="H432" s="3" t="n"/>
      <c r="I432" s="3" t="n"/>
      <c r="J432" s="3" t="n"/>
      <c r="K432" s="3" t="n"/>
      <c r="L432" s="3" t="n"/>
      <c r="M432" s="3" t="n"/>
      <c r="N432" s="3" t="n"/>
    </row>
    <row r="433">
      <c r="A433" s="3" t="n"/>
      <c r="B433" s="3" t="n"/>
      <c r="C433" s="3" t="n"/>
      <c r="D433" s="3" t="n"/>
      <c r="E433" s="3" t="n"/>
      <c r="F433" s="3" t="n"/>
      <c r="G433" s="3" t="n"/>
      <c r="H433" s="3" t="n"/>
      <c r="I433" s="3" t="n"/>
      <c r="J433" s="3" t="n"/>
      <c r="K433" s="3" t="n"/>
      <c r="L433" s="3" t="n"/>
      <c r="M433" s="3" t="n"/>
      <c r="N433" s="3" t="n"/>
    </row>
    <row r="434">
      <c r="A434" s="3" t="n"/>
      <c r="B434" s="3" t="n"/>
      <c r="C434" s="3" t="n"/>
      <c r="D434" s="3" t="n"/>
      <c r="E434" s="3" t="n"/>
      <c r="F434" s="3" t="n"/>
      <c r="G434" s="3" t="n"/>
      <c r="H434" s="3" t="n"/>
      <c r="I434" s="3" t="n"/>
      <c r="J434" s="3" t="n"/>
      <c r="K434" s="3" t="n"/>
      <c r="L434" s="3" t="n"/>
      <c r="M434" s="3" t="n"/>
      <c r="N434" s="3" t="n"/>
    </row>
    <row r="435">
      <c r="A435" s="3" t="n"/>
      <c r="B435" s="3" t="n"/>
      <c r="C435" s="3" t="n"/>
      <c r="D435" s="3" t="n"/>
      <c r="E435" s="3" t="n"/>
      <c r="F435" s="3" t="n"/>
      <c r="G435" s="3" t="n"/>
      <c r="H435" s="3" t="n"/>
      <c r="I435" s="3" t="n"/>
      <c r="J435" s="3" t="n"/>
      <c r="K435" s="3" t="n"/>
      <c r="L435" s="3" t="n"/>
      <c r="M435" s="3" t="n"/>
      <c r="N435" s="3" t="n"/>
    </row>
    <row r="436">
      <c r="A436" s="3" t="n"/>
      <c r="B436" s="3" t="n"/>
      <c r="C436" s="3" t="n"/>
      <c r="D436" s="3" t="n"/>
      <c r="E436" s="3" t="n"/>
      <c r="F436" s="3" t="n"/>
      <c r="G436" s="3" t="n"/>
      <c r="H436" s="3" t="n"/>
      <c r="I436" s="3" t="n"/>
      <c r="J436" s="3" t="n"/>
      <c r="K436" s="3" t="n"/>
      <c r="L436" s="3" t="n"/>
      <c r="M436" s="3" t="n"/>
      <c r="N436" s="3" t="n"/>
    </row>
    <row r="437">
      <c r="A437" s="3" t="n"/>
      <c r="B437" s="3" t="n"/>
      <c r="C437" s="3" t="n"/>
      <c r="D437" s="3" t="n"/>
      <c r="E437" s="3" t="n"/>
      <c r="F437" s="3" t="n"/>
      <c r="G437" s="3" t="n"/>
      <c r="H437" s="3" t="n"/>
      <c r="I437" s="3" t="n"/>
      <c r="J437" s="3" t="n"/>
      <c r="K437" s="3" t="n"/>
      <c r="L437" s="3" t="n"/>
      <c r="M437" s="3" t="n"/>
      <c r="N437" s="3" t="n"/>
    </row>
    <row r="438">
      <c r="A438" s="3" t="n"/>
      <c r="B438" s="3" t="n"/>
      <c r="C438" s="3" t="n"/>
      <c r="D438" s="3" t="n"/>
      <c r="E438" s="3" t="n"/>
      <c r="F438" s="3" t="n"/>
      <c r="G438" s="3" t="n"/>
      <c r="H438" s="3" t="n"/>
      <c r="I438" s="3" t="n"/>
      <c r="J438" s="3" t="n"/>
      <c r="K438" s="3" t="n"/>
      <c r="L438" s="3" t="n"/>
      <c r="M438" s="3" t="n"/>
      <c r="N438" s="3" t="n"/>
    </row>
    <row r="439">
      <c r="A439" s="3" t="n"/>
      <c r="B439" s="3" t="n"/>
      <c r="C439" s="3" t="n"/>
      <c r="D439" s="3" t="n"/>
      <c r="E439" s="3" t="n"/>
      <c r="F439" s="3" t="n"/>
      <c r="G439" s="3" t="n"/>
      <c r="H439" s="3" t="n"/>
      <c r="I439" s="3" t="n"/>
      <c r="J439" s="3" t="n"/>
      <c r="K439" s="3" t="n"/>
      <c r="L439" s="3" t="n"/>
      <c r="M439" s="3" t="n"/>
      <c r="N439" s="3" t="n"/>
    </row>
    <row r="440">
      <c r="A440" s="3" t="n"/>
      <c r="B440" s="3" t="n"/>
      <c r="C440" s="3" t="n"/>
      <c r="D440" s="3" t="n"/>
      <c r="E440" s="3" t="n"/>
      <c r="F440" s="3" t="n"/>
      <c r="G440" s="3" t="n"/>
      <c r="H440" s="3" t="n"/>
      <c r="I440" s="3" t="n"/>
      <c r="J440" s="3" t="n"/>
      <c r="K440" s="3" t="n"/>
      <c r="L440" s="3" t="n"/>
      <c r="M440" s="3" t="n"/>
      <c r="N440" s="3" t="n"/>
    </row>
    <row r="441">
      <c r="A441" s="3" t="n"/>
      <c r="B441" s="3" t="n"/>
      <c r="C441" s="3" t="n"/>
      <c r="D441" s="3" t="n"/>
      <c r="E441" s="3" t="n"/>
      <c r="F441" s="3" t="n"/>
      <c r="G441" s="3" t="n"/>
      <c r="H441" s="3" t="n"/>
      <c r="I441" s="3" t="n"/>
      <c r="J441" s="3" t="n"/>
      <c r="K441" s="3" t="n"/>
      <c r="L441" s="3" t="n"/>
      <c r="M441" s="3" t="n"/>
      <c r="N441" s="3" t="n"/>
    </row>
    <row r="442">
      <c r="A442" s="3" t="n"/>
      <c r="B442" s="3" t="n"/>
      <c r="C442" s="3" t="n"/>
      <c r="D442" s="3" t="n"/>
      <c r="E442" s="3" t="n"/>
      <c r="F442" s="3" t="n"/>
      <c r="G442" s="3" t="n"/>
      <c r="H442" s="3" t="n"/>
      <c r="I442" s="3" t="n"/>
      <c r="J442" s="3" t="n"/>
      <c r="K442" s="3" t="n"/>
      <c r="L442" s="3" t="n"/>
      <c r="M442" s="3" t="n"/>
      <c r="N442" s="3" t="n"/>
    </row>
    <row r="443">
      <c r="A443" s="3" t="n"/>
      <c r="B443" s="3" t="n"/>
      <c r="C443" s="3" t="n"/>
      <c r="D443" s="3" t="n"/>
      <c r="E443" s="3" t="n"/>
      <c r="F443" s="3" t="n"/>
      <c r="G443" s="3" t="n"/>
      <c r="H443" s="3" t="n"/>
      <c r="I443" s="3" t="n"/>
      <c r="J443" s="3" t="n"/>
      <c r="K443" s="3" t="n"/>
      <c r="L443" s="3" t="n"/>
      <c r="M443" s="3" t="n"/>
      <c r="N443" s="3" t="n"/>
    </row>
    <row r="444">
      <c r="A444" s="3" t="n"/>
      <c r="B444" s="3" t="n"/>
      <c r="C444" s="3" t="n"/>
      <c r="D444" s="3" t="n"/>
      <c r="E444" s="3" t="n"/>
      <c r="F444" s="3" t="n"/>
      <c r="G444" s="3" t="n"/>
      <c r="H444" s="3" t="n"/>
      <c r="I444" s="3" t="n"/>
      <c r="J444" s="3" t="n"/>
      <c r="K444" s="3" t="n"/>
      <c r="L444" s="3" t="n"/>
      <c r="M444" s="3" t="n"/>
      <c r="N444" s="3" t="n"/>
    </row>
    <row r="445">
      <c r="A445" s="3" t="n"/>
      <c r="B445" s="3" t="n"/>
      <c r="C445" s="3" t="n"/>
      <c r="D445" s="3" t="n"/>
      <c r="E445" s="3" t="n"/>
      <c r="F445" s="3" t="n"/>
      <c r="G445" s="3" t="n"/>
      <c r="H445" s="3" t="n"/>
      <c r="I445" s="3" t="n"/>
      <c r="J445" s="3" t="n"/>
      <c r="K445" s="3" t="n"/>
      <c r="L445" s="3" t="n"/>
      <c r="M445" s="3" t="n"/>
      <c r="N445" s="3" t="n"/>
    </row>
    <row r="446">
      <c r="A446" s="3" t="n"/>
      <c r="B446" s="3" t="n"/>
      <c r="C446" s="3" t="n"/>
      <c r="D446" s="3" t="n"/>
      <c r="E446" s="3" t="n"/>
      <c r="F446" s="3" t="n"/>
      <c r="G446" s="3" t="n"/>
      <c r="H446" s="3" t="n"/>
      <c r="I446" s="3" t="n"/>
      <c r="J446" s="3" t="n"/>
      <c r="K446" s="3" t="n"/>
      <c r="L446" s="3" t="n"/>
      <c r="M446" s="3" t="n"/>
      <c r="N446" s="3" t="n"/>
    </row>
    <row r="447">
      <c r="A447" s="3" t="n"/>
      <c r="B447" s="3" t="n"/>
      <c r="C447" s="3" t="n"/>
      <c r="D447" s="3" t="n"/>
      <c r="E447" s="3" t="n"/>
      <c r="F447" s="3" t="n"/>
      <c r="G447" s="3" t="n"/>
      <c r="H447" s="3" t="n"/>
      <c r="I447" s="3" t="n"/>
      <c r="J447" s="3" t="n"/>
      <c r="K447" s="3" t="n"/>
      <c r="L447" s="3" t="n"/>
      <c r="M447" s="3" t="n"/>
      <c r="N447" s="3" t="n"/>
    </row>
    <row r="448">
      <c r="A448" s="3" t="n"/>
      <c r="B448" s="3" t="n"/>
      <c r="C448" s="3" t="n"/>
      <c r="D448" s="3" t="n"/>
      <c r="E448" s="3" t="n"/>
      <c r="F448" s="3" t="n"/>
      <c r="G448" s="3" t="n"/>
      <c r="H448" s="3" t="n"/>
      <c r="I448" s="3" t="n"/>
      <c r="J448" s="3" t="n"/>
      <c r="K448" s="3" t="n"/>
      <c r="L448" s="3" t="n"/>
      <c r="M448" s="3" t="n"/>
      <c r="N448" s="3" t="n"/>
    </row>
    <row r="449">
      <c r="A449" s="3" t="n"/>
      <c r="B449" s="3" t="n"/>
      <c r="C449" s="3" t="n"/>
      <c r="D449" s="3" t="n"/>
      <c r="E449" s="3" t="n"/>
      <c r="F449" s="3" t="n"/>
      <c r="G449" s="3" t="n"/>
      <c r="H449" s="3" t="n"/>
      <c r="I449" s="3" t="n"/>
      <c r="J449" s="3" t="n"/>
      <c r="K449" s="3" t="n"/>
      <c r="L449" s="3" t="n"/>
      <c r="M449" s="3" t="n"/>
      <c r="N449" s="3" t="n"/>
    </row>
    <row r="450">
      <c r="A450" s="3" t="n"/>
      <c r="B450" s="3" t="n"/>
      <c r="C450" s="3" t="n"/>
      <c r="D450" s="3" t="n"/>
      <c r="E450" s="3" t="n"/>
      <c r="F450" s="3" t="n"/>
      <c r="G450" s="3" t="n"/>
      <c r="H450" s="3" t="n"/>
      <c r="I450" s="3" t="n"/>
      <c r="J450" s="3" t="n"/>
      <c r="K450" s="3" t="n"/>
      <c r="L450" s="3" t="n"/>
      <c r="M450" s="3" t="n"/>
      <c r="N450" s="3" t="n"/>
    </row>
    <row r="451">
      <c r="A451" s="3" t="n"/>
      <c r="B451" s="3" t="n"/>
      <c r="C451" s="3" t="n"/>
      <c r="D451" s="3" t="n"/>
      <c r="E451" s="3" t="n"/>
      <c r="F451" s="3" t="n"/>
      <c r="G451" s="3" t="n"/>
      <c r="H451" s="3" t="n"/>
      <c r="I451" s="3" t="n"/>
      <c r="J451" s="3" t="n"/>
      <c r="K451" s="3" t="n"/>
      <c r="L451" s="3" t="n"/>
      <c r="M451" s="3" t="n"/>
      <c r="N451" s="3" t="n"/>
    </row>
    <row r="452">
      <c r="A452" s="3" t="n"/>
      <c r="B452" s="3" t="n"/>
      <c r="C452" s="3" t="n"/>
      <c r="D452" s="3" t="n"/>
      <c r="E452" s="3" t="n"/>
      <c r="F452" s="3" t="n"/>
      <c r="G452" s="3" t="n"/>
      <c r="H452" s="3" t="n"/>
      <c r="I452" s="3" t="n"/>
      <c r="J452" s="3" t="n"/>
      <c r="K452" s="3" t="n"/>
      <c r="L452" s="3" t="n"/>
      <c r="M452" s="3" t="n"/>
      <c r="N452" s="3" t="n"/>
    </row>
    <row r="453">
      <c r="A453" s="3" t="n"/>
      <c r="B453" s="3" t="n"/>
      <c r="C453" s="3" t="n"/>
      <c r="D453" s="3" t="n"/>
      <c r="E453" s="3" t="n"/>
      <c r="F453" s="3" t="n"/>
      <c r="G453" s="3" t="n"/>
      <c r="H453" s="3" t="n"/>
      <c r="I453" s="3" t="n"/>
      <c r="J453" s="3" t="n"/>
      <c r="K453" s="3" t="n"/>
      <c r="L453" s="3" t="n"/>
      <c r="M453" s="3" t="n"/>
      <c r="N453" s="3" t="n"/>
    </row>
    <row r="454">
      <c r="A454" s="3" t="n"/>
      <c r="B454" s="3" t="n"/>
      <c r="C454" s="3" t="n"/>
      <c r="D454" s="3" t="n"/>
      <c r="E454" s="3" t="n"/>
      <c r="F454" s="3" t="n"/>
      <c r="G454" s="3" t="n"/>
      <c r="H454" s="3" t="n"/>
      <c r="I454" s="3" t="n"/>
      <c r="J454" s="3" t="n"/>
      <c r="K454" s="3" t="n"/>
      <c r="L454" s="3" t="n"/>
      <c r="M454" s="3" t="n"/>
      <c r="N454" s="3" t="n"/>
    </row>
    <row r="455">
      <c r="A455" s="3" t="n"/>
      <c r="B455" s="3" t="n"/>
      <c r="C455" s="3" t="n"/>
      <c r="D455" s="3" t="n"/>
      <c r="E455" s="3" t="n"/>
      <c r="F455" s="3" t="n"/>
      <c r="G455" s="3" t="n"/>
      <c r="H455" s="3" t="n"/>
      <c r="I455" s="3" t="n"/>
      <c r="J455" s="3" t="n"/>
      <c r="K455" s="3" t="n"/>
      <c r="L455" s="3" t="n"/>
      <c r="M455" s="3" t="n"/>
      <c r="N455" s="3" t="n"/>
    </row>
    <row r="456">
      <c r="A456" s="3" t="n"/>
      <c r="B456" s="3" t="n"/>
      <c r="C456" s="3" t="n"/>
      <c r="D456" s="3" t="n"/>
      <c r="E456" s="3" t="n"/>
      <c r="F456" s="3" t="n"/>
      <c r="G456" s="3" t="n"/>
      <c r="H456" s="3" t="n"/>
      <c r="I456" s="3" t="n"/>
      <c r="J456" s="3" t="n"/>
      <c r="K456" s="3" t="n"/>
      <c r="L456" s="3" t="n"/>
      <c r="M456" s="3" t="n"/>
      <c r="N456" s="3" t="n"/>
    </row>
    <row r="457">
      <c r="A457" s="3" t="n"/>
      <c r="B457" s="3" t="n"/>
      <c r="C457" s="3" t="n"/>
      <c r="D457" s="3" t="n"/>
      <c r="E457" s="3" t="n"/>
      <c r="F457" s="3" t="n"/>
      <c r="G457" s="3" t="n"/>
      <c r="H457" s="3" t="n"/>
      <c r="I457" s="3" t="n"/>
      <c r="J457" s="3" t="n"/>
      <c r="K457" s="3" t="n"/>
      <c r="L457" s="3" t="n"/>
      <c r="M457" s="3" t="n"/>
      <c r="N457" s="3" t="n"/>
    </row>
    <row r="458">
      <c r="A458" s="3" t="n"/>
      <c r="B458" s="3" t="n"/>
      <c r="C458" s="3" t="n"/>
      <c r="D458" s="3" t="n"/>
      <c r="E458" s="3" t="n"/>
      <c r="F458" s="3" t="n"/>
      <c r="G458" s="3" t="n"/>
      <c r="H458" s="3" t="n"/>
      <c r="I458" s="3" t="n"/>
      <c r="J458" s="3" t="n"/>
      <c r="K458" s="3" t="n"/>
      <c r="L458" s="3" t="n"/>
      <c r="M458" s="3" t="n"/>
      <c r="N458" s="3" t="n"/>
    </row>
    <row r="459">
      <c r="A459" s="3" t="n"/>
      <c r="B459" s="3" t="n"/>
      <c r="C459" s="3" t="n"/>
      <c r="D459" s="3" t="n"/>
      <c r="E459" s="3" t="n"/>
      <c r="F459" s="3" t="n"/>
      <c r="G459" s="3" t="n"/>
      <c r="H459" s="3" t="n"/>
      <c r="I459" s="3" t="n"/>
      <c r="J459" s="3" t="n"/>
      <c r="K459" s="3" t="n"/>
      <c r="L459" s="3" t="n"/>
      <c r="M459" s="3" t="n"/>
      <c r="N459" s="3" t="n"/>
    </row>
    <row r="460">
      <c r="A460" s="3" t="n"/>
      <c r="B460" s="3" t="n"/>
      <c r="C460" s="3" t="n"/>
      <c r="D460" s="3" t="n"/>
      <c r="E460" s="3" t="n"/>
      <c r="F460" s="3" t="n"/>
      <c r="G460" s="3" t="n"/>
      <c r="H460" s="3" t="n"/>
      <c r="I460" s="3" t="n"/>
      <c r="J460" s="3" t="n"/>
      <c r="K460" s="3" t="n"/>
      <c r="L460" s="3" t="n"/>
      <c r="M460" s="3" t="n"/>
      <c r="N460" s="3" t="n"/>
    </row>
    <row r="461">
      <c r="A461" s="3" t="n"/>
      <c r="B461" s="3" t="n"/>
      <c r="C461" s="3" t="n"/>
      <c r="D461" s="3" t="n"/>
      <c r="E461" s="3" t="n"/>
      <c r="F461" s="3" t="n"/>
      <c r="G461" s="3" t="n"/>
      <c r="H461" s="3" t="n"/>
      <c r="I461" s="3" t="n"/>
      <c r="J461" s="3" t="n"/>
      <c r="K461" s="3" t="n"/>
      <c r="L461" s="3" t="n"/>
      <c r="M461" s="3" t="n"/>
      <c r="N461" s="3" t="n"/>
    </row>
    <row r="462">
      <c r="A462" s="3" t="n"/>
      <c r="B462" s="3" t="n"/>
      <c r="C462" s="3" t="n"/>
      <c r="D462" s="3" t="n"/>
      <c r="E462" s="3" t="n"/>
      <c r="F462" s="3" t="n"/>
      <c r="G462" s="3" t="n"/>
      <c r="H462" s="3" t="n"/>
      <c r="I462" s="3" t="n"/>
      <c r="J462" s="3" t="n"/>
      <c r="K462" s="3" t="n"/>
      <c r="L462" s="3" t="n"/>
      <c r="M462" s="3" t="n"/>
      <c r="N462" s="3" t="n"/>
    </row>
    <row r="463">
      <c r="A463" s="3" t="n"/>
      <c r="B463" s="3" t="n"/>
      <c r="C463" s="3" t="n"/>
      <c r="D463" s="3" t="n"/>
      <c r="E463" s="3" t="n"/>
      <c r="F463" s="3" t="n"/>
      <c r="G463" s="3" t="n"/>
      <c r="H463" s="3" t="n"/>
      <c r="I463" s="3" t="n"/>
      <c r="J463" s="3" t="n"/>
      <c r="K463" s="3" t="n"/>
      <c r="L463" s="3" t="n"/>
      <c r="M463" s="3" t="n"/>
      <c r="N463" s="3" t="n"/>
    </row>
    <row r="464">
      <c r="A464" s="3" t="n"/>
      <c r="B464" s="3" t="n"/>
      <c r="C464" s="3" t="n"/>
      <c r="D464" s="3" t="n"/>
      <c r="E464" s="3" t="n"/>
      <c r="F464" s="3" t="n"/>
      <c r="G464" s="3" t="n"/>
      <c r="H464" s="3" t="n"/>
      <c r="I464" s="3" t="n"/>
      <c r="J464" s="3" t="n"/>
      <c r="K464" s="3" t="n"/>
      <c r="L464" s="3" t="n"/>
      <c r="M464" s="3" t="n"/>
      <c r="N464" s="3" t="n"/>
    </row>
    <row r="465">
      <c r="A465" s="3" t="n"/>
      <c r="B465" s="3" t="n"/>
      <c r="C465" s="3" t="n"/>
      <c r="D465" s="3" t="n"/>
      <c r="E465" s="3" t="n"/>
      <c r="F465" s="3" t="n"/>
      <c r="G465" s="3" t="n"/>
      <c r="H465" s="3" t="n"/>
      <c r="I465" s="3" t="n"/>
      <c r="J465" s="3" t="n"/>
      <c r="K465" s="3" t="n"/>
      <c r="L465" s="3" t="n"/>
      <c r="M465" s="3" t="n"/>
      <c r="N465" s="3" t="n"/>
    </row>
    <row r="466">
      <c r="A466" s="3" t="n"/>
      <c r="B466" s="3" t="n"/>
      <c r="C466" s="3" t="n"/>
      <c r="D466" s="3" t="n"/>
      <c r="E466" s="3" t="n"/>
      <c r="F466" s="3" t="n"/>
      <c r="G466" s="3" t="n"/>
      <c r="H466" s="3" t="n"/>
      <c r="I466" s="3" t="n"/>
      <c r="J466" s="3" t="n"/>
      <c r="K466" s="3" t="n"/>
      <c r="L466" s="3" t="n"/>
      <c r="M466" s="3" t="n"/>
      <c r="N466" s="3" t="n"/>
    </row>
    <row r="467">
      <c r="A467" s="3" t="n"/>
      <c r="B467" s="3" t="n"/>
      <c r="C467" s="3" t="n"/>
      <c r="D467" s="3" t="n"/>
      <c r="E467" s="3" t="n"/>
      <c r="F467" s="3" t="n"/>
      <c r="G467" s="3" t="n"/>
      <c r="H467" s="3" t="n"/>
      <c r="I467" s="3" t="n"/>
      <c r="J467" s="3" t="n"/>
      <c r="K467" s="3" t="n"/>
      <c r="L467" s="3" t="n"/>
      <c r="M467" s="3" t="n"/>
      <c r="N467" s="3" t="n"/>
    </row>
    <row r="468">
      <c r="A468" s="3" t="n"/>
      <c r="B468" s="3" t="n"/>
      <c r="C468" s="3" t="n"/>
      <c r="D468" s="3" t="n"/>
      <c r="E468" s="3" t="n"/>
      <c r="F468" s="3" t="n"/>
      <c r="G468" s="3" t="n"/>
      <c r="H468" s="3" t="n"/>
      <c r="I468" s="3" t="n"/>
      <c r="J468" s="3" t="n"/>
      <c r="K468" s="3" t="n"/>
      <c r="L468" s="3" t="n"/>
      <c r="M468" s="3" t="n"/>
      <c r="N468" s="3" t="n"/>
    </row>
    <row r="469">
      <c r="A469" s="3" t="n"/>
      <c r="B469" s="3" t="n"/>
      <c r="C469" s="3" t="n"/>
      <c r="D469" s="3" t="n"/>
      <c r="E469" s="3" t="n"/>
      <c r="F469" s="3" t="n"/>
      <c r="G469" s="3" t="n"/>
      <c r="H469" s="3" t="n"/>
      <c r="I469" s="3" t="n"/>
      <c r="J469" s="3" t="n"/>
      <c r="K469" s="3" t="n"/>
      <c r="L469" s="3" t="n"/>
      <c r="M469" s="3" t="n"/>
      <c r="N469" s="3" t="n"/>
    </row>
    <row r="470">
      <c r="A470" s="3" t="n"/>
      <c r="B470" s="3" t="n"/>
      <c r="C470" s="3" t="n"/>
      <c r="D470" s="3" t="n"/>
      <c r="E470" s="3" t="n"/>
      <c r="F470" s="3" t="n"/>
      <c r="G470" s="3" t="n"/>
      <c r="H470" s="3" t="n"/>
      <c r="I470" s="3" t="n"/>
      <c r="J470" s="3" t="n"/>
      <c r="K470" s="3" t="n"/>
      <c r="L470" s="3" t="n"/>
      <c r="M470" s="3" t="n"/>
      <c r="N470" s="3" t="n"/>
    </row>
    <row r="471">
      <c r="A471" s="3" t="n"/>
      <c r="B471" s="3" t="n"/>
      <c r="C471" s="3" t="n"/>
      <c r="D471" s="3" t="n"/>
      <c r="E471" s="3" t="n"/>
      <c r="F471" s="3" t="n"/>
      <c r="G471" s="3" t="n"/>
      <c r="H471" s="3" t="n"/>
      <c r="I471" s="3" t="n"/>
      <c r="J471" s="3" t="n"/>
      <c r="K471" s="3" t="n"/>
      <c r="L471" s="3" t="n"/>
      <c r="M471" s="3" t="n"/>
      <c r="N471" s="3" t="n"/>
    </row>
    <row r="472">
      <c r="A472" s="3" t="n"/>
      <c r="B472" s="3" t="n"/>
      <c r="C472" s="3" t="n"/>
      <c r="D472" s="3" t="n"/>
      <c r="E472" s="3" t="n"/>
      <c r="F472" s="3" t="n"/>
      <c r="G472" s="3" t="n"/>
      <c r="H472" s="3" t="n"/>
      <c r="I472" s="3" t="n"/>
      <c r="J472" s="3" t="n"/>
      <c r="K472" s="3" t="n"/>
      <c r="L472" s="3" t="n"/>
      <c r="M472" s="3" t="n"/>
      <c r="N472" s="3" t="n"/>
    </row>
    <row r="473">
      <c r="A473" s="3" t="n"/>
      <c r="B473" s="3" t="n"/>
      <c r="C473" s="3" t="n"/>
      <c r="D473" s="3" t="n"/>
      <c r="E473" s="3" t="n"/>
      <c r="F473" s="3" t="n"/>
      <c r="G473" s="3" t="n"/>
      <c r="H473" s="3" t="n"/>
      <c r="I473" s="3" t="n"/>
      <c r="J473" s="3" t="n"/>
      <c r="K473" s="3" t="n"/>
      <c r="L473" s="3" t="n"/>
      <c r="M473" s="3" t="n"/>
      <c r="N473" s="3" t="n"/>
    </row>
    <row r="474">
      <c r="A474" s="3" t="n"/>
      <c r="B474" s="3" t="n"/>
      <c r="C474" s="3" t="n"/>
      <c r="D474" s="3" t="n"/>
      <c r="E474" s="3" t="n"/>
      <c r="F474" s="3" t="n"/>
      <c r="G474" s="3" t="n"/>
      <c r="H474" s="3" t="n"/>
      <c r="I474" s="3" t="n"/>
      <c r="J474" s="3" t="n"/>
      <c r="K474" s="3" t="n"/>
      <c r="L474" s="3" t="n"/>
      <c r="M474" s="3" t="n"/>
      <c r="N474" s="3" t="n"/>
    </row>
    <row r="475">
      <c r="A475" s="3" t="n"/>
      <c r="B475" s="3" t="n"/>
      <c r="C475" s="3" t="n"/>
      <c r="D475" s="3" t="n"/>
      <c r="E475" s="3" t="n"/>
      <c r="F475" s="3" t="n"/>
      <c r="G475" s="3" t="n"/>
      <c r="H475" s="3" t="n"/>
      <c r="I475" s="3" t="n"/>
      <c r="J475" s="3" t="n"/>
      <c r="K475" s="3" t="n"/>
      <c r="L475" s="3" t="n"/>
      <c r="M475" s="3" t="n"/>
      <c r="N475" s="3" t="n"/>
    </row>
    <row r="476">
      <c r="A476" s="3" t="n"/>
      <c r="B476" s="3" t="n"/>
      <c r="C476" s="3" t="n"/>
      <c r="D476" s="3" t="n"/>
      <c r="E476" s="3" t="n"/>
      <c r="F476" s="3" t="n"/>
      <c r="G476" s="3" t="n"/>
      <c r="H476" s="3" t="n"/>
      <c r="I476" s="3" t="n"/>
      <c r="J476" s="3" t="n"/>
      <c r="K476" s="3" t="n"/>
      <c r="L476" s="3" t="n"/>
      <c r="M476" s="3" t="n"/>
      <c r="N476" s="3" t="n"/>
    </row>
    <row r="477">
      <c r="A477" s="3" t="n"/>
      <c r="B477" s="3" t="n"/>
      <c r="C477" s="3" t="n"/>
      <c r="D477" s="3" t="n"/>
      <c r="E477" s="3" t="n"/>
      <c r="F477" s="3" t="n"/>
      <c r="G477" s="3" t="n"/>
      <c r="H477" s="3" t="n"/>
      <c r="I477" s="3" t="n"/>
      <c r="J477" s="3" t="n"/>
      <c r="K477" s="3" t="n"/>
      <c r="L477" s="3" t="n"/>
      <c r="M477" s="3" t="n"/>
      <c r="N477" s="3" t="n"/>
    </row>
    <row r="478">
      <c r="A478" s="3" t="n"/>
      <c r="B478" s="3" t="n"/>
      <c r="C478" s="3" t="n"/>
      <c r="D478" s="3" t="n"/>
      <c r="E478" s="3" t="n"/>
      <c r="F478" s="3" t="n"/>
      <c r="G478" s="3" t="n"/>
      <c r="H478" s="3" t="n"/>
      <c r="I478" s="3" t="n"/>
      <c r="J478" s="3" t="n"/>
      <c r="K478" s="3" t="n"/>
      <c r="L478" s="3" t="n"/>
      <c r="M478" s="3" t="n"/>
      <c r="N478" s="3" t="n"/>
    </row>
    <row r="479">
      <c r="A479" s="3" t="n"/>
      <c r="B479" s="3" t="n"/>
      <c r="C479" s="3" t="n"/>
      <c r="D479" s="3" t="n"/>
      <c r="E479" s="3" t="n"/>
      <c r="F479" s="3" t="n"/>
      <c r="G479" s="3" t="n"/>
      <c r="H479" s="3" t="n"/>
      <c r="I479" s="3" t="n"/>
      <c r="J479" s="3" t="n"/>
      <c r="K479" s="3" t="n"/>
      <c r="L479" s="3" t="n"/>
      <c r="M479" s="3" t="n"/>
      <c r="N479" s="3" t="n"/>
    </row>
    <row r="480">
      <c r="A480" s="3" t="n"/>
      <c r="B480" s="3" t="n"/>
      <c r="C480" s="3" t="n"/>
      <c r="D480" s="3" t="n"/>
      <c r="E480" s="3" t="n"/>
      <c r="F480" s="3" t="n"/>
      <c r="G480" s="3" t="n"/>
      <c r="H480" s="3" t="n"/>
      <c r="I480" s="3" t="n"/>
      <c r="J480" s="3" t="n"/>
      <c r="K480" s="3" t="n"/>
      <c r="L480" s="3" t="n"/>
      <c r="M480" s="3" t="n"/>
      <c r="N480" s="3" t="n"/>
    </row>
    <row r="481">
      <c r="A481" s="3" t="n"/>
      <c r="B481" s="3" t="n"/>
      <c r="C481" s="3" t="n"/>
      <c r="D481" s="3" t="n"/>
      <c r="E481" s="3" t="n"/>
      <c r="F481" s="3" t="n"/>
      <c r="G481" s="3" t="n"/>
      <c r="H481" s="3" t="n"/>
      <c r="I481" s="3" t="n"/>
      <c r="J481" s="3" t="n"/>
      <c r="K481" s="3" t="n"/>
      <c r="L481" s="3" t="n"/>
      <c r="M481" s="3" t="n"/>
      <c r="N481" s="3" t="n"/>
    </row>
    <row r="482">
      <c r="A482" s="3" t="n"/>
      <c r="B482" s="3" t="n"/>
      <c r="C482" s="3" t="n"/>
      <c r="D482" s="3" t="n"/>
      <c r="E482" s="3" t="n"/>
      <c r="F482" s="3" t="n"/>
      <c r="G482" s="3" t="n"/>
      <c r="H482" s="3" t="n"/>
      <c r="I482" s="3" t="n"/>
      <c r="J482" s="3" t="n"/>
      <c r="K482" s="3" t="n"/>
      <c r="L482" s="3" t="n"/>
      <c r="M482" s="3" t="n"/>
      <c r="N482" s="3" t="n"/>
    </row>
    <row r="483">
      <c r="A483" s="3" t="n"/>
      <c r="B483" s="3" t="n"/>
      <c r="C483" s="3" t="n"/>
      <c r="D483" s="3" t="n"/>
      <c r="E483" s="3" t="n"/>
      <c r="F483" s="3" t="n"/>
      <c r="G483" s="3" t="n"/>
      <c r="H483" s="3" t="n"/>
      <c r="I483" s="3" t="n"/>
      <c r="J483" s="3" t="n"/>
      <c r="K483" s="3" t="n"/>
      <c r="L483" s="3" t="n"/>
      <c r="M483" s="3" t="n"/>
      <c r="N483" s="3" t="n"/>
    </row>
    <row r="484">
      <c r="A484" s="3" t="n"/>
      <c r="B484" s="3" t="n"/>
      <c r="C484" s="3" t="n"/>
      <c r="D484" s="3" t="n"/>
      <c r="E484" s="3" t="n"/>
      <c r="F484" s="3" t="n"/>
      <c r="G484" s="3" t="n"/>
      <c r="H484" s="3" t="n"/>
      <c r="I484" s="3" t="n"/>
      <c r="J484" s="3" t="n"/>
      <c r="K484" s="3" t="n"/>
      <c r="L484" s="3" t="n"/>
      <c r="M484" s="3" t="n"/>
      <c r="N484" s="3" t="n"/>
    </row>
    <row r="485">
      <c r="A485" s="3" t="n"/>
      <c r="B485" s="3" t="n"/>
      <c r="C485" s="3" t="n"/>
      <c r="D485" s="3" t="n"/>
      <c r="E485" s="3" t="n"/>
      <c r="F485" s="3" t="n"/>
      <c r="G485" s="3" t="n"/>
      <c r="H485" s="3" t="n"/>
      <c r="I485" s="3" t="n"/>
      <c r="J485" s="3" t="n"/>
      <c r="K485" s="3" t="n"/>
      <c r="L485" s="3" t="n"/>
      <c r="M485" s="3" t="n"/>
      <c r="N485" s="3" t="n"/>
    </row>
    <row r="486">
      <c r="A486" s="3" t="n"/>
      <c r="B486" s="3" t="n"/>
      <c r="C486" s="3" t="n"/>
      <c r="D486" s="3" t="n"/>
      <c r="E486" s="3" t="n"/>
      <c r="F486" s="3" t="n"/>
      <c r="G486" s="3" t="n"/>
      <c r="H486" s="3" t="n"/>
      <c r="I486" s="3" t="n"/>
      <c r="J486" s="3" t="n"/>
      <c r="K486" s="3" t="n"/>
      <c r="L486" s="3" t="n"/>
      <c r="M486" s="3" t="n"/>
      <c r="N486" s="3" t="n"/>
    </row>
    <row r="487">
      <c r="A487" s="3" t="n"/>
      <c r="B487" s="3" t="n"/>
      <c r="C487" s="3" t="n"/>
      <c r="D487" s="3" t="n"/>
      <c r="E487" s="3" t="n"/>
      <c r="F487" s="3" t="n"/>
      <c r="G487" s="3" t="n"/>
      <c r="H487" s="3" t="n"/>
      <c r="I487" s="3" t="n"/>
      <c r="J487" s="3" t="n"/>
      <c r="K487" s="3" t="n"/>
      <c r="L487" s="3" t="n"/>
      <c r="M487" s="3" t="n"/>
      <c r="N487" s="3" t="n"/>
    </row>
    <row r="488">
      <c r="A488" s="3" t="n"/>
      <c r="B488" s="3" t="n"/>
      <c r="C488" s="3" t="n"/>
      <c r="D488" s="3" t="n"/>
      <c r="E488" s="3" t="n"/>
      <c r="F488" s="3" t="n"/>
      <c r="G488" s="3" t="n"/>
      <c r="H488" s="3" t="n"/>
      <c r="I488" s="3" t="n"/>
      <c r="J488" s="3" t="n"/>
      <c r="K488" s="3" t="n"/>
      <c r="L488" s="3" t="n"/>
      <c r="M488" s="3" t="n"/>
      <c r="N488" s="3" t="n"/>
    </row>
    <row r="489">
      <c r="A489" s="3" t="n"/>
      <c r="B489" s="3" t="n"/>
      <c r="C489" s="3" t="n"/>
      <c r="D489" s="3" t="n"/>
      <c r="E489" s="3" t="n"/>
      <c r="F489" s="3" t="n"/>
      <c r="G489" s="3" t="n"/>
      <c r="H489" s="3" t="n"/>
      <c r="I489" s="3" t="n"/>
      <c r="J489" s="3" t="n"/>
      <c r="K489" s="3" t="n"/>
      <c r="L489" s="3" t="n"/>
      <c r="M489" s="3" t="n"/>
      <c r="N489" s="3" t="n"/>
    </row>
    <row r="490">
      <c r="A490" s="3" t="n"/>
      <c r="B490" s="3" t="n"/>
      <c r="C490" s="3" t="n"/>
      <c r="D490" s="3" t="n"/>
      <c r="E490" s="3" t="n"/>
      <c r="F490" s="3" t="n"/>
      <c r="G490" s="3" t="n"/>
      <c r="H490" s="3" t="n"/>
      <c r="I490" s="3" t="n"/>
      <c r="J490" s="3" t="n"/>
      <c r="K490" s="3" t="n"/>
      <c r="L490" s="3" t="n"/>
      <c r="M490" s="3" t="n"/>
      <c r="N490" s="3" t="n"/>
    </row>
    <row r="491">
      <c r="A491" s="3" t="n"/>
      <c r="B491" s="3" t="n"/>
      <c r="C491" s="3" t="n"/>
      <c r="D491" s="3" t="n"/>
      <c r="E491" s="3" t="n"/>
      <c r="F491" s="3" t="n"/>
      <c r="G491" s="3" t="n"/>
      <c r="H491" s="3" t="n"/>
      <c r="I491" s="3" t="n"/>
      <c r="J491" s="3" t="n"/>
      <c r="K491" s="3" t="n"/>
      <c r="L491" s="3" t="n"/>
      <c r="M491" s="3" t="n"/>
      <c r="N491" s="3" t="n"/>
    </row>
    <row r="492">
      <c r="A492" s="3" t="n"/>
      <c r="B492" s="3" t="n"/>
      <c r="C492" s="3" t="n"/>
      <c r="D492" s="3" t="n"/>
      <c r="E492" s="3" t="n"/>
      <c r="F492" s="3" t="n"/>
      <c r="G492" s="3" t="n"/>
      <c r="H492" s="3" t="n"/>
      <c r="I492" s="3" t="n"/>
      <c r="J492" s="3" t="n"/>
      <c r="K492" s="3" t="n"/>
      <c r="L492" s="3" t="n"/>
      <c r="M492" s="3" t="n"/>
      <c r="N492" s="3" t="n"/>
    </row>
    <row r="493">
      <c r="A493" s="3" t="n"/>
      <c r="B493" s="3" t="n"/>
      <c r="C493" s="3" t="n"/>
      <c r="D493" s="3" t="n"/>
      <c r="E493" s="3" t="n"/>
      <c r="F493" s="3" t="n"/>
      <c r="G493" s="3" t="n"/>
      <c r="H493" s="3" t="n"/>
      <c r="I493" s="3" t="n"/>
      <c r="J493" s="3" t="n"/>
      <c r="K493" s="3" t="n"/>
      <c r="L493" s="3" t="n"/>
      <c r="M493" s="3" t="n"/>
      <c r="N493" s="3" t="n"/>
    </row>
    <row r="494">
      <c r="A494" s="3" t="n"/>
      <c r="B494" s="3" t="n"/>
      <c r="C494" s="3" t="n"/>
      <c r="D494" s="3" t="n"/>
      <c r="E494" s="3" t="n"/>
      <c r="F494" s="3" t="n"/>
      <c r="G494" s="3" t="n"/>
      <c r="H494" s="3" t="n"/>
      <c r="I494" s="3" t="n"/>
      <c r="J494" s="3" t="n"/>
      <c r="K494" s="3" t="n"/>
      <c r="L494" s="3" t="n"/>
      <c r="M494" s="3" t="n"/>
      <c r="N494" s="3" t="n"/>
    </row>
    <row r="495">
      <c r="A495" s="3" t="n"/>
      <c r="B495" s="3" t="n"/>
      <c r="C495" s="3" t="n"/>
      <c r="D495" s="3" t="n"/>
      <c r="E495" s="3" t="n"/>
      <c r="F495" s="3" t="n"/>
      <c r="G495" s="3" t="n"/>
      <c r="H495" s="3" t="n"/>
      <c r="I495" s="3" t="n"/>
      <c r="J495" s="3" t="n"/>
      <c r="K495" s="3" t="n"/>
      <c r="L495" s="3" t="n"/>
      <c r="M495" s="3" t="n"/>
      <c r="N495" s="3" t="n"/>
    </row>
    <row r="496">
      <c r="A496" s="3" t="n"/>
      <c r="B496" s="3" t="n"/>
      <c r="C496" s="3" t="n"/>
      <c r="D496" s="3" t="n"/>
      <c r="E496" s="3" t="n"/>
      <c r="F496" s="3" t="n"/>
      <c r="G496" s="3" t="n"/>
      <c r="H496" s="3" t="n"/>
      <c r="I496" s="3" t="n"/>
      <c r="J496" s="3" t="n"/>
      <c r="K496" s="3" t="n"/>
      <c r="L496" s="3" t="n"/>
      <c r="M496" s="3" t="n"/>
      <c r="N496" s="3" t="n"/>
    </row>
    <row r="497">
      <c r="A497" s="3" t="n"/>
      <c r="B497" s="3" t="n"/>
      <c r="C497" s="3" t="n"/>
      <c r="D497" s="3" t="n"/>
      <c r="E497" s="3" t="n"/>
      <c r="F497" s="3" t="n"/>
      <c r="G497" s="3" t="n"/>
      <c r="H497" s="3" t="n"/>
      <c r="I497" s="3" t="n"/>
      <c r="J497" s="3" t="n"/>
      <c r="K497" s="3" t="n"/>
      <c r="L497" s="3" t="n"/>
      <c r="M497" s="3" t="n"/>
      <c r="N497" s="3" t="n"/>
    </row>
    <row r="498">
      <c r="A498" s="3" t="n"/>
      <c r="B498" s="3" t="n"/>
      <c r="C498" s="3" t="n"/>
      <c r="D498" s="3" t="n"/>
      <c r="E498" s="3" t="n"/>
      <c r="F498" s="3" t="n"/>
      <c r="G498" s="3" t="n"/>
      <c r="H498" s="3" t="n"/>
      <c r="I498" s="3" t="n"/>
      <c r="J498" s="3" t="n"/>
      <c r="K498" s="3" t="n"/>
      <c r="L498" s="3" t="n"/>
      <c r="M498" s="3" t="n"/>
      <c r="N498" s="3" t="n"/>
    </row>
    <row r="499">
      <c r="A499" s="3" t="n"/>
      <c r="B499" s="3" t="n"/>
      <c r="C499" s="3" t="n"/>
      <c r="D499" s="3" t="n"/>
      <c r="E499" s="3" t="n"/>
      <c r="F499" s="3" t="n"/>
      <c r="G499" s="3" t="n"/>
      <c r="H499" s="3" t="n"/>
      <c r="I499" s="3" t="n"/>
      <c r="J499" s="3" t="n"/>
      <c r="K499" s="3" t="n"/>
      <c r="L499" s="3" t="n"/>
      <c r="M499" s="3" t="n"/>
      <c r="N499" s="3" t="n"/>
    </row>
    <row r="500">
      <c r="A500" s="3" t="n"/>
      <c r="B500" s="3" t="n"/>
      <c r="C500" s="3" t="n"/>
      <c r="D500" s="3" t="n"/>
      <c r="E500" s="3" t="n"/>
      <c r="F500" s="3" t="n"/>
      <c r="G500" s="3" t="n"/>
      <c r="H500" s="3" t="n"/>
      <c r="I500" s="3" t="n"/>
      <c r="J500" s="3" t="n"/>
      <c r="K500" s="3" t="n"/>
      <c r="L500" s="3" t="n"/>
      <c r="M500" s="3" t="n"/>
      <c r="N500" s="3" t="n"/>
    </row>
    <row r="501">
      <c r="A501" s="3" t="n"/>
      <c r="B501" s="3" t="n"/>
      <c r="C501" s="3" t="n"/>
      <c r="D501" s="3" t="n"/>
      <c r="E501" s="3" t="n"/>
      <c r="F501" s="3" t="n"/>
      <c r="G501" s="3" t="n"/>
      <c r="H501" s="3" t="n"/>
      <c r="I501" s="3" t="n"/>
      <c r="J501" s="3" t="n"/>
      <c r="K501" s="3" t="n"/>
      <c r="L501" s="3" t="n"/>
      <c r="M501" s="3" t="n"/>
      <c r="N501" s="3" t="n"/>
    </row>
    <row r="502">
      <c r="A502" s="3" t="n"/>
      <c r="B502" s="3" t="n"/>
      <c r="C502" s="3" t="n"/>
      <c r="D502" s="3" t="n"/>
      <c r="E502" s="3" t="n"/>
      <c r="F502" s="3" t="n"/>
      <c r="G502" s="3" t="n"/>
      <c r="H502" s="3" t="n"/>
      <c r="I502" s="3" t="n"/>
      <c r="J502" s="3" t="n"/>
      <c r="K502" s="3" t="n"/>
      <c r="L502" s="3" t="n"/>
      <c r="M502" s="3" t="n"/>
      <c r="N502" s="3" t="n"/>
    </row>
    <row r="503">
      <c r="A503" s="3" t="n"/>
      <c r="B503" s="3" t="n"/>
      <c r="C503" s="3" t="n"/>
      <c r="D503" s="3" t="n"/>
      <c r="E503" s="3" t="n"/>
      <c r="F503" s="3" t="n"/>
      <c r="G503" s="3" t="n"/>
      <c r="H503" s="3" t="n"/>
      <c r="I503" s="3" t="n"/>
      <c r="J503" s="3" t="n"/>
      <c r="K503" s="3" t="n"/>
      <c r="L503" s="3" t="n"/>
      <c r="M503" s="3" t="n"/>
      <c r="N503" s="3" t="n"/>
    </row>
    <row r="504">
      <c r="A504" s="3" t="n"/>
      <c r="B504" s="3" t="n"/>
      <c r="C504" s="3" t="n"/>
      <c r="D504" s="3" t="n"/>
      <c r="E504" s="3" t="n"/>
      <c r="F504" s="3" t="n"/>
      <c r="G504" s="3" t="n"/>
      <c r="H504" s="3" t="n"/>
      <c r="I504" s="3" t="n"/>
      <c r="J504" s="3" t="n"/>
      <c r="K504" s="3" t="n"/>
      <c r="L504" s="3" t="n"/>
      <c r="M504" s="3" t="n"/>
      <c r="N504" s="3" t="n"/>
    </row>
    <row r="505">
      <c r="A505" s="3" t="n"/>
      <c r="B505" s="3" t="n"/>
      <c r="C505" s="3" t="n"/>
      <c r="D505" s="3" t="n"/>
      <c r="E505" s="3" t="n"/>
      <c r="F505" s="3" t="n"/>
      <c r="G505" s="3" t="n"/>
      <c r="H505" s="3" t="n"/>
      <c r="I505" s="3" t="n"/>
      <c r="J505" s="3" t="n"/>
      <c r="K505" s="3" t="n"/>
      <c r="L505" s="3" t="n"/>
      <c r="M505" s="3" t="n"/>
      <c r="N505" s="3" t="n"/>
    </row>
    <row r="506">
      <c r="A506" s="3" t="n"/>
      <c r="B506" s="3" t="n"/>
      <c r="C506" s="3" t="n"/>
      <c r="D506" s="3" t="n"/>
      <c r="E506" s="3" t="n"/>
      <c r="F506" s="3" t="n"/>
      <c r="G506" s="3" t="n"/>
      <c r="H506" s="3" t="n"/>
      <c r="I506" s="3" t="n"/>
      <c r="J506" s="3" t="n"/>
      <c r="K506" s="3" t="n"/>
      <c r="L506" s="3" t="n"/>
      <c r="M506" s="3" t="n"/>
      <c r="N506" s="3" t="n"/>
    </row>
    <row r="507">
      <c r="A507" s="3" t="n"/>
      <c r="B507" s="3" t="n"/>
      <c r="C507" s="3" t="n"/>
      <c r="D507" s="3" t="n"/>
      <c r="E507" s="3" t="n"/>
      <c r="F507" s="3" t="n"/>
      <c r="G507" s="3" t="n"/>
      <c r="H507" s="3" t="n"/>
      <c r="I507" s="3" t="n"/>
      <c r="J507" s="3" t="n"/>
      <c r="K507" s="3" t="n"/>
      <c r="L507" s="3" t="n"/>
      <c r="M507" s="3" t="n"/>
      <c r="N507" s="3" t="n"/>
    </row>
    <row r="508">
      <c r="A508" s="3" t="n"/>
      <c r="B508" s="3" t="n"/>
      <c r="C508" s="3" t="n"/>
      <c r="D508" s="3" t="n"/>
      <c r="E508" s="3" t="n"/>
      <c r="F508" s="3" t="n"/>
      <c r="G508" s="3" t="n"/>
      <c r="H508" s="3" t="n"/>
      <c r="I508" s="3" t="n"/>
      <c r="J508" s="3" t="n"/>
      <c r="K508" s="3" t="n"/>
      <c r="L508" s="3" t="n"/>
      <c r="M508" s="3" t="n"/>
      <c r="N508" s="3" t="n"/>
    </row>
    <row r="509">
      <c r="A509" s="3" t="n"/>
      <c r="B509" s="3" t="n"/>
      <c r="C509" s="3" t="n"/>
      <c r="D509" s="3" t="n"/>
      <c r="E509" s="3" t="n"/>
      <c r="F509" s="3" t="n"/>
      <c r="G509" s="3" t="n"/>
      <c r="H509" s="3" t="n"/>
      <c r="I509" s="3" t="n"/>
      <c r="J509" s="3" t="n"/>
      <c r="K509" s="3" t="n"/>
      <c r="L509" s="3" t="n"/>
      <c r="M509" s="3" t="n"/>
      <c r="N509" s="3" t="n"/>
    </row>
    <row r="510">
      <c r="A510" s="3" t="n"/>
      <c r="B510" s="3" t="n"/>
      <c r="C510" s="3" t="n"/>
      <c r="D510" s="3" t="n"/>
      <c r="E510" s="3" t="n"/>
      <c r="F510" s="3" t="n"/>
      <c r="G510" s="3" t="n"/>
      <c r="H510" s="3" t="n"/>
      <c r="I510" s="3" t="n"/>
      <c r="J510" s="3" t="n"/>
      <c r="K510" s="3" t="n"/>
      <c r="L510" s="3" t="n"/>
      <c r="M510" s="3" t="n"/>
      <c r="N510" s="3" t="n"/>
    </row>
    <row r="511">
      <c r="A511" s="3" t="n"/>
      <c r="B511" s="3" t="n"/>
      <c r="C511" s="3" t="n"/>
      <c r="D511" s="3" t="n"/>
      <c r="E511" s="3" t="n"/>
      <c r="F511" s="3" t="n"/>
      <c r="G511" s="3" t="n"/>
      <c r="H511" s="3" t="n"/>
      <c r="I511" s="3" t="n"/>
      <c r="J511" s="3" t="n"/>
      <c r="K511" s="3" t="n"/>
      <c r="L511" s="3" t="n"/>
      <c r="M511" s="3" t="n"/>
      <c r="N511" s="3" t="n"/>
    </row>
    <row r="512">
      <c r="A512" s="3" t="n"/>
      <c r="B512" s="3" t="n"/>
      <c r="C512" s="3" t="n"/>
      <c r="D512" s="3" t="n"/>
      <c r="E512" s="3" t="n"/>
      <c r="F512" s="3" t="n"/>
      <c r="G512" s="3" t="n"/>
      <c r="H512" s="3" t="n"/>
      <c r="I512" s="3" t="n"/>
      <c r="J512" s="3" t="n"/>
      <c r="K512" s="3" t="n"/>
      <c r="L512" s="3" t="n"/>
      <c r="M512" s="3" t="n"/>
      <c r="N512" s="3" t="n"/>
    </row>
    <row r="513">
      <c r="A513" s="3" t="n"/>
      <c r="B513" s="3" t="n"/>
      <c r="C513" s="3" t="n"/>
      <c r="D513" s="3" t="n"/>
      <c r="E513" s="3" t="n"/>
      <c r="F513" s="3" t="n"/>
      <c r="G513" s="3" t="n"/>
      <c r="H513" s="3" t="n"/>
      <c r="I513" s="3" t="n"/>
      <c r="J513" s="3" t="n"/>
      <c r="K513" s="3" t="n"/>
      <c r="L513" s="3" t="n"/>
      <c r="M513" s="3" t="n"/>
      <c r="N513" s="3" t="n"/>
    </row>
    <row r="514">
      <c r="A514" s="3" t="n"/>
      <c r="B514" s="3" t="n"/>
      <c r="C514" s="3" t="n"/>
      <c r="D514" s="3" t="n"/>
      <c r="E514" s="3" t="n"/>
      <c r="F514" s="3" t="n"/>
      <c r="G514" s="3" t="n"/>
      <c r="H514" s="3" t="n"/>
      <c r="I514" s="3" t="n"/>
      <c r="J514" s="3" t="n"/>
      <c r="K514" s="3" t="n"/>
      <c r="L514" s="3" t="n"/>
      <c r="M514" s="3" t="n"/>
      <c r="N514" s="3" t="n"/>
    </row>
    <row r="515">
      <c r="A515" s="3" t="n"/>
      <c r="B515" s="3" t="n"/>
      <c r="C515" s="3" t="n"/>
      <c r="D515" s="3" t="n"/>
      <c r="E515" s="3" t="n"/>
      <c r="F515" s="3" t="n"/>
      <c r="G515" s="3" t="n"/>
      <c r="H515" s="3" t="n"/>
      <c r="I515" s="3" t="n"/>
      <c r="J515" s="3" t="n"/>
      <c r="K515" s="3" t="n"/>
      <c r="L515" s="3" t="n"/>
      <c r="M515" s="3" t="n"/>
      <c r="N515" s="3" t="n"/>
    </row>
    <row r="516">
      <c r="A516" s="3" t="n"/>
      <c r="B516" s="3" t="n"/>
      <c r="C516" s="3" t="n"/>
      <c r="D516" s="3" t="n"/>
      <c r="E516" s="3" t="n"/>
      <c r="F516" s="3" t="n"/>
      <c r="G516" s="3" t="n"/>
      <c r="H516" s="3" t="n"/>
      <c r="I516" s="3" t="n"/>
      <c r="J516" s="3" t="n"/>
      <c r="K516" s="3" t="n"/>
      <c r="L516" s="3" t="n"/>
      <c r="M516" s="3" t="n"/>
      <c r="N516" s="3" t="n"/>
    </row>
    <row r="517">
      <c r="A517" s="3" t="n"/>
      <c r="B517" s="3" t="n"/>
      <c r="C517" s="3" t="n"/>
      <c r="D517" s="3" t="n"/>
      <c r="E517" s="3" t="n"/>
      <c r="F517" s="3" t="n"/>
      <c r="G517" s="3" t="n"/>
      <c r="H517" s="3" t="n"/>
      <c r="I517" s="3" t="n"/>
      <c r="J517" s="3" t="n"/>
      <c r="K517" s="3" t="n"/>
      <c r="L517" s="3" t="n"/>
      <c r="M517" s="3" t="n"/>
      <c r="N517" s="3" t="n"/>
    </row>
    <row r="518">
      <c r="A518" s="3" t="n"/>
      <c r="B518" s="3" t="n"/>
      <c r="C518" s="3" t="n"/>
      <c r="D518" s="3" t="n"/>
      <c r="E518" s="3" t="n"/>
      <c r="F518" s="3" t="n"/>
      <c r="G518" s="3" t="n"/>
      <c r="H518" s="3" t="n"/>
      <c r="I518" s="3" t="n"/>
      <c r="J518" s="3" t="n"/>
      <c r="K518" s="3" t="n"/>
      <c r="L518" s="3" t="n"/>
      <c r="M518" s="3" t="n"/>
      <c r="N518" s="3" t="n"/>
    </row>
    <row r="519">
      <c r="A519" s="3" t="n"/>
      <c r="B519" s="3" t="n"/>
      <c r="C519" s="3" t="n"/>
      <c r="D519" s="3" t="n"/>
      <c r="E519" s="3" t="n"/>
      <c r="F519" s="3" t="n"/>
      <c r="G519" s="3" t="n"/>
      <c r="H519" s="3" t="n"/>
      <c r="I519" s="3" t="n"/>
      <c r="J519" s="3" t="n"/>
      <c r="K519" s="3" t="n"/>
      <c r="L519" s="3" t="n"/>
      <c r="M519" s="3" t="n"/>
      <c r="N519" s="3" t="n"/>
    </row>
    <row r="520">
      <c r="A520" s="3" t="n"/>
      <c r="B520" s="3" t="n"/>
      <c r="C520" s="3" t="n"/>
      <c r="D520" s="3" t="n"/>
      <c r="E520" s="3" t="n"/>
      <c r="F520" s="3" t="n"/>
      <c r="G520" s="3" t="n"/>
      <c r="H520" s="3" t="n"/>
      <c r="I520" s="3" t="n"/>
      <c r="J520" s="3" t="n"/>
      <c r="K520" s="3" t="n"/>
      <c r="L520" s="3" t="n"/>
      <c r="M520" s="3" t="n"/>
      <c r="N520" s="3" t="n"/>
    </row>
    <row r="521">
      <c r="A521" s="3" t="n"/>
      <c r="B521" s="3" t="n"/>
      <c r="C521" s="3" t="n"/>
      <c r="D521" s="3" t="n"/>
      <c r="E521" s="3" t="n"/>
      <c r="F521" s="3" t="n"/>
      <c r="G521" s="3" t="n"/>
      <c r="H521" s="3" t="n"/>
      <c r="I521" s="3" t="n"/>
      <c r="J521" s="3" t="n"/>
      <c r="K521" s="3" t="n"/>
      <c r="L521" s="3" t="n"/>
      <c r="M521" s="3" t="n"/>
      <c r="N521" s="3" t="n"/>
    </row>
    <row r="522">
      <c r="A522" s="3" t="n"/>
      <c r="B522" s="3" t="n"/>
      <c r="C522" s="3" t="n"/>
      <c r="D522" s="3" t="n"/>
      <c r="E522" s="3" t="n"/>
      <c r="F522" s="3" t="n"/>
      <c r="G522" s="3" t="n"/>
      <c r="H522" s="3" t="n"/>
      <c r="I522" s="3" t="n"/>
      <c r="J522" s="3" t="n"/>
      <c r="K522" s="3" t="n"/>
      <c r="L522" s="3" t="n"/>
      <c r="M522" s="3" t="n"/>
      <c r="N522" s="3" t="n"/>
    </row>
    <row r="523">
      <c r="A523" s="3" t="n"/>
      <c r="B523" s="3" t="n"/>
      <c r="C523" s="3" t="n"/>
      <c r="D523" s="3" t="n"/>
      <c r="E523" s="3" t="n"/>
      <c r="F523" s="3" t="n"/>
      <c r="G523" s="3" t="n"/>
      <c r="H523" s="3" t="n"/>
      <c r="I523" s="3" t="n"/>
      <c r="J523" s="3" t="n"/>
      <c r="K523" s="3" t="n"/>
      <c r="L523" s="3" t="n"/>
      <c r="M523" s="3" t="n"/>
      <c r="N523" s="3" t="n"/>
    </row>
    <row r="524">
      <c r="A524" s="3" t="n"/>
      <c r="B524" s="3" t="n"/>
      <c r="C524" s="3" t="n"/>
      <c r="D524" s="3" t="n"/>
      <c r="E524" s="3" t="n"/>
      <c r="F524" s="3" t="n"/>
      <c r="G524" s="3" t="n"/>
      <c r="H524" s="3" t="n"/>
      <c r="I524" s="3" t="n"/>
      <c r="J524" s="3" t="n"/>
      <c r="K524" s="3" t="n"/>
      <c r="L524" s="3" t="n"/>
      <c r="M524" s="3" t="n"/>
      <c r="N524" s="3" t="n"/>
    </row>
    <row r="525">
      <c r="A525" s="3" t="n"/>
      <c r="B525" s="3" t="n"/>
      <c r="C525" s="3" t="n"/>
      <c r="D525" s="3" t="n"/>
      <c r="E525" s="3" t="n"/>
      <c r="F525" s="3" t="n"/>
      <c r="G525" s="3" t="n"/>
      <c r="H525" s="3" t="n"/>
      <c r="I525" s="3" t="n"/>
      <c r="J525" s="3" t="n"/>
      <c r="K525" s="3" t="n"/>
      <c r="L525" s="3" t="n"/>
      <c r="M525" s="3" t="n"/>
      <c r="N525" s="3" t="n"/>
    </row>
    <row r="526">
      <c r="A526" s="3" t="n"/>
      <c r="B526" s="3" t="n"/>
      <c r="C526" s="3" t="n"/>
      <c r="D526" s="3" t="n"/>
      <c r="E526" s="3" t="n"/>
      <c r="F526" s="3" t="n"/>
      <c r="G526" s="3" t="n"/>
      <c r="H526" s="3" t="n"/>
      <c r="I526" s="3" t="n"/>
      <c r="J526" s="3" t="n"/>
      <c r="K526" s="3" t="n"/>
      <c r="L526" s="3" t="n"/>
      <c r="M526" s="3" t="n"/>
      <c r="N526" s="3" t="n"/>
    </row>
    <row r="527">
      <c r="A527" s="3" t="n"/>
      <c r="B527" s="3" t="n"/>
      <c r="C527" s="3" t="n"/>
      <c r="D527" s="3" t="n"/>
      <c r="E527" s="3" t="n"/>
      <c r="F527" s="3" t="n"/>
      <c r="G527" s="3" t="n"/>
      <c r="H527" s="3" t="n"/>
      <c r="I527" s="3" t="n"/>
      <c r="J527" s="3" t="n"/>
      <c r="K527" s="3" t="n"/>
      <c r="L527" s="3" t="n"/>
      <c r="M527" s="3" t="n"/>
      <c r="N527" s="3" t="n"/>
    </row>
    <row r="528">
      <c r="A528" s="3" t="n"/>
      <c r="B528" s="3" t="n"/>
      <c r="C528" s="3" t="n"/>
      <c r="D528" s="3" t="n"/>
      <c r="E528" s="3" t="n"/>
      <c r="F528" s="3" t="n"/>
      <c r="G528" s="3" t="n"/>
      <c r="H528" s="3" t="n"/>
      <c r="I528" s="3" t="n"/>
      <c r="J528" s="3" t="n"/>
      <c r="K528" s="3" t="n"/>
      <c r="L528" s="3" t="n"/>
      <c r="M528" s="3" t="n"/>
      <c r="N528" s="3" t="n"/>
    </row>
    <row r="529">
      <c r="A529" s="3" t="n"/>
      <c r="B529" s="3" t="n"/>
      <c r="C529" s="3" t="n"/>
      <c r="D529" s="3" t="n"/>
      <c r="E529" s="3" t="n"/>
      <c r="F529" s="3" t="n"/>
      <c r="G529" s="3" t="n"/>
      <c r="H529" s="3" t="n"/>
      <c r="I529" s="3" t="n"/>
      <c r="J529" s="3" t="n"/>
      <c r="K529" s="3" t="n"/>
      <c r="L529" s="3" t="n"/>
      <c r="M529" s="3" t="n"/>
      <c r="N529" s="3" t="n"/>
    </row>
    <row r="530">
      <c r="A530" s="3" t="n"/>
      <c r="B530" s="3" t="n"/>
      <c r="C530" s="3" t="n"/>
      <c r="D530" s="3" t="n"/>
      <c r="E530" s="3" t="n"/>
      <c r="F530" s="3" t="n"/>
      <c r="G530" s="3" t="n"/>
      <c r="H530" s="3" t="n"/>
      <c r="I530" s="3" t="n"/>
      <c r="J530" s="3" t="n"/>
      <c r="K530" s="3" t="n"/>
      <c r="L530" s="3" t="n"/>
      <c r="M530" s="3" t="n"/>
      <c r="N530" s="3" t="n"/>
    </row>
    <row r="531">
      <c r="A531" s="3" t="n"/>
      <c r="B531" s="3" t="n"/>
      <c r="C531" s="3" t="n"/>
      <c r="D531" s="3" t="n"/>
      <c r="E531" s="3" t="n"/>
      <c r="F531" s="3" t="n"/>
      <c r="G531" s="3" t="n"/>
      <c r="H531" s="3" t="n"/>
      <c r="I531" s="3" t="n"/>
      <c r="J531" s="3" t="n"/>
      <c r="K531" s="3" t="n"/>
      <c r="L531" s="3" t="n"/>
      <c r="M531" s="3" t="n"/>
      <c r="N531" s="3" t="n"/>
    </row>
    <row r="532">
      <c r="A532" s="3" t="n"/>
      <c r="B532" s="3" t="n"/>
      <c r="C532" s="3" t="n"/>
      <c r="D532" s="3" t="n"/>
      <c r="E532" s="3" t="n"/>
      <c r="F532" s="3" t="n"/>
      <c r="G532" s="3" t="n"/>
      <c r="H532" s="3" t="n"/>
      <c r="I532" s="3" t="n"/>
      <c r="J532" s="3" t="n"/>
      <c r="K532" s="3" t="n"/>
      <c r="L532" s="3" t="n"/>
      <c r="M532" s="3" t="n"/>
      <c r="N532" s="3" t="n"/>
    </row>
    <row r="533">
      <c r="A533" s="3" t="n"/>
      <c r="B533" s="3" t="n"/>
      <c r="C533" s="3" t="n"/>
      <c r="D533" s="3" t="n"/>
      <c r="E533" s="3" t="n"/>
      <c r="F533" s="3" t="n"/>
      <c r="G533" s="3" t="n"/>
      <c r="H533" s="3" t="n"/>
      <c r="I533" s="3" t="n"/>
      <c r="J533" s="3" t="n"/>
      <c r="K533" s="3" t="n"/>
      <c r="L533" s="3" t="n"/>
      <c r="M533" s="3" t="n"/>
      <c r="N533" s="3" t="n"/>
    </row>
    <row r="534">
      <c r="A534" s="3" t="n"/>
      <c r="B534" s="3" t="n"/>
      <c r="C534" s="3" t="n"/>
      <c r="D534" s="3" t="n"/>
      <c r="E534" s="3" t="n"/>
      <c r="F534" s="3" t="n"/>
      <c r="G534" s="3" t="n"/>
      <c r="H534" s="3" t="n"/>
      <c r="I534" s="3" t="n"/>
      <c r="J534" s="3" t="n"/>
      <c r="K534" s="3" t="n"/>
      <c r="L534" s="3" t="n"/>
      <c r="M534" s="3" t="n"/>
      <c r="N534" s="3" t="n"/>
    </row>
    <row r="535">
      <c r="A535" s="3" t="n"/>
      <c r="B535" s="3" t="n"/>
      <c r="C535" s="3" t="n"/>
      <c r="D535" s="3" t="n"/>
      <c r="E535" s="3" t="n"/>
      <c r="F535" s="3" t="n"/>
      <c r="G535" s="3" t="n"/>
      <c r="H535" s="3" t="n"/>
      <c r="I535" s="3" t="n"/>
      <c r="J535" s="3" t="n"/>
      <c r="K535" s="3" t="n"/>
      <c r="L535" s="3" t="n"/>
      <c r="M535" s="3" t="n"/>
      <c r="N535" s="3" t="n"/>
    </row>
    <row r="536">
      <c r="A536" s="3" t="n"/>
      <c r="B536" s="3" t="n"/>
      <c r="C536" s="3" t="n"/>
      <c r="D536" s="3" t="n"/>
      <c r="E536" s="3" t="n"/>
      <c r="F536" s="3" t="n"/>
      <c r="G536" s="3" t="n"/>
      <c r="H536" s="3" t="n"/>
      <c r="I536" s="3" t="n"/>
      <c r="J536" s="3" t="n"/>
      <c r="K536" s="3" t="n"/>
      <c r="L536" s="3" t="n"/>
      <c r="M536" s="3" t="n"/>
      <c r="N536" s="3" t="n"/>
    </row>
    <row r="537">
      <c r="A537" s="3" t="n"/>
      <c r="B537" s="3" t="n"/>
      <c r="C537" s="3" t="n"/>
      <c r="D537" s="3" t="n"/>
      <c r="E537" s="3" t="n"/>
      <c r="F537" s="3" t="n"/>
      <c r="G537" s="3" t="n"/>
      <c r="H537" s="3" t="n"/>
      <c r="I537" s="3" t="n"/>
      <c r="J537" s="3" t="n"/>
      <c r="K537" s="3" t="n"/>
      <c r="L537" s="3" t="n"/>
      <c r="M537" s="3" t="n"/>
      <c r="N537" s="3" t="n"/>
    </row>
    <row r="538">
      <c r="A538" s="3" t="n"/>
      <c r="B538" s="3" t="n"/>
      <c r="C538" s="3" t="n"/>
      <c r="D538" s="3" t="n"/>
      <c r="E538" s="3" t="n"/>
      <c r="F538" s="3" t="n"/>
      <c r="G538" s="3" t="n"/>
      <c r="H538" s="3" t="n"/>
      <c r="I538" s="3" t="n"/>
      <c r="J538" s="3" t="n"/>
      <c r="K538" s="3" t="n"/>
      <c r="L538" s="3" t="n"/>
      <c r="M538" s="3" t="n"/>
      <c r="N538" s="3" t="n"/>
    </row>
    <row r="539">
      <c r="A539" s="3" t="n"/>
      <c r="B539" s="3" t="n"/>
      <c r="C539" s="3" t="n"/>
      <c r="D539" s="3" t="n"/>
      <c r="E539" s="3" t="n"/>
      <c r="F539" s="3" t="n"/>
      <c r="G539" s="3" t="n"/>
      <c r="H539" s="3" t="n"/>
      <c r="I539" s="3" t="n"/>
      <c r="J539" s="3" t="n"/>
      <c r="K539" s="3" t="n"/>
      <c r="L539" s="3" t="n"/>
      <c r="M539" s="3" t="n"/>
      <c r="N539" s="3" t="n"/>
    </row>
    <row r="540">
      <c r="A540" s="3" t="n"/>
      <c r="B540" s="3" t="n"/>
      <c r="C540" s="3" t="n"/>
      <c r="D540" s="3" t="n"/>
      <c r="E540" s="3" t="n"/>
      <c r="F540" s="3" t="n"/>
      <c r="G540" s="3" t="n"/>
      <c r="H540" s="3" t="n"/>
      <c r="I540" s="3" t="n"/>
      <c r="J540" s="3" t="n"/>
      <c r="K540" s="3" t="n"/>
      <c r="L540" s="3" t="n"/>
      <c r="M540" s="3" t="n"/>
      <c r="N540" s="3" t="n"/>
    </row>
    <row r="541">
      <c r="A541" s="3" t="n"/>
      <c r="B541" s="3" t="n"/>
      <c r="C541" s="3" t="n"/>
      <c r="D541" s="3" t="n"/>
      <c r="E541" s="3" t="n"/>
      <c r="F541" s="3" t="n"/>
      <c r="G541" s="3" t="n"/>
      <c r="H541" s="3" t="n"/>
      <c r="I541" s="3" t="n"/>
      <c r="J541" s="3" t="n"/>
      <c r="K541" s="3" t="n"/>
      <c r="L541" s="3" t="n"/>
      <c r="M541" s="3" t="n"/>
      <c r="N541" s="3" t="n"/>
    </row>
    <row r="542">
      <c r="A542" s="3" t="n"/>
      <c r="B542" s="3" t="n"/>
      <c r="C542" s="3" t="n"/>
      <c r="D542" s="3" t="n"/>
      <c r="E542" s="3" t="n"/>
      <c r="F542" s="3" t="n"/>
      <c r="G542" s="3" t="n"/>
      <c r="H542" s="3" t="n"/>
      <c r="I542" s="3" t="n"/>
      <c r="J542" s="3" t="n"/>
      <c r="K542" s="3" t="n"/>
      <c r="L542" s="3" t="n"/>
      <c r="M542" s="3" t="n"/>
      <c r="N542" s="3" t="n"/>
    </row>
    <row r="543">
      <c r="A543" s="3" t="n"/>
      <c r="B543" s="3" t="n"/>
      <c r="C543" s="3" t="n"/>
      <c r="D543" s="3" t="n"/>
      <c r="E543" s="3" t="n"/>
      <c r="F543" s="3" t="n"/>
      <c r="G543" s="3" t="n"/>
      <c r="H543" s="3" t="n"/>
      <c r="I543" s="3" t="n"/>
      <c r="J543" s="3" t="n"/>
      <c r="K543" s="3" t="n"/>
      <c r="L543" s="3" t="n"/>
      <c r="M543" s="3" t="n"/>
      <c r="N543" s="3" t="n"/>
    </row>
    <row r="544">
      <c r="A544" s="3" t="n"/>
      <c r="B544" s="3" t="n"/>
      <c r="C544" s="3" t="n"/>
      <c r="D544" s="3" t="n"/>
      <c r="E544" s="3" t="n"/>
      <c r="F544" s="3" t="n"/>
      <c r="G544" s="3" t="n"/>
      <c r="H544" s="3" t="n"/>
      <c r="I544" s="3" t="n"/>
      <c r="J544" s="3" t="n"/>
      <c r="K544" s="3" t="n"/>
      <c r="L544" s="3" t="n"/>
      <c r="M544" s="3" t="n"/>
      <c r="N544" s="3" t="n"/>
    </row>
    <row r="545">
      <c r="A545" s="3" t="n"/>
      <c r="B545" s="3" t="n"/>
      <c r="C545" s="3" t="n"/>
      <c r="D545" s="3" t="n"/>
      <c r="E545" s="3" t="n"/>
      <c r="F545" s="3" t="n"/>
      <c r="G545" s="3" t="n"/>
      <c r="H545" s="3" t="n"/>
      <c r="I545" s="3" t="n"/>
      <c r="J545" s="3" t="n"/>
      <c r="K545" s="3" t="n"/>
      <c r="L545" s="3" t="n"/>
      <c r="M545" s="3" t="n"/>
      <c r="N545" s="3" t="n"/>
    </row>
    <row r="546">
      <c r="A546" s="3" t="n"/>
      <c r="B546" s="3" t="n"/>
      <c r="C546" s="3" t="n"/>
      <c r="D546" s="3" t="n"/>
      <c r="E546" s="3" t="n"/>
      <c r="F546" s="3" t="n"/>
      <c r="G546" s="3" t="n"/>
      <c r="H546" s="3" t="n"/>
      <c r="I546" s="3" t="n"/>
      <c r="J546" s="3" t="n"/>
      <c r="K546" s="3" t="n"/>
      <c r="L546" s="3" t="n"/>
      <c r="M546" s="3" t="n"/>
      <c r="N546" s="3" t="n"/>
    </row>
    <row r="547">
      <c r="A547" s="3" t="n"/>
      <c r="B547" s="3" t="n"/>
      <c r="C547" s="3" t="n"/>
      <c r="D547" s="3" t="n"/>
      <c r="E547" s="3" t="n"/>
      <c r="F547" s="3" t="n"/>
      <c r="G547" s="3" t="n"/>
      <c r="H547" s="3" t="n"/>
      <c r="I547" s="3" t="n"/>
      <c r="J547" s="3" t="n"/>
      <c r="K547" s="3" t="n"/>
      <c r="L547" s="3" t="n"/>
      <c r="M547" s="3" t="n"/>
      <c r="N547" s="3" t="n"/>
    </row>
    <row r="548">
      <c r="A548" s="3" t="n"/>
      <c r="B548" s="3" t="n"/>
      <c r="C548" s="3" t="n"/>
      <c r="D548" s="3" t="n"/>
      <c r="E548" s="3" t="n"/>
      <c r="F548" s="3" t="n"/>
      <c r="G548" s="3" t="n"/>
      <c r="H548" s="3" t="n"/>
      <c r="I548" s="3" t="n"/>
      <c r="J548" s="3" t="n"/>
      <c r="K548" s="3" t="n"/>
      <c r="L548" s="3" t="n"/>
      <c r="M548" s="3" t="n"/>
      <c r="N548" s="3" t="n"/>
    </row>
    <row r="549">
      <c r="A549" s="3" t="n"/>
      <c r="B549" s="3" t="n"/>
      <c r="C549" s="3" t="n"/>
      <c r="D549" s="3" t="n"/>
      <c r="E549" s="3" t="n"/>
      <c r="F549" s="3" t="n"/>
      <c r="G549" s="3" t="n"/>
      <c r="H549" s="3" t="n"/>
      <c r="I549" s="3" t="n"/>
      <c r="J549" s="3" t="n"/>
      <c r="K549" s="3" t="n"/>
      <c r="L549" s="3" t="n"/>
      <c r="M549" s="3" t="n"/>
      <c r="N549" s="3" t="n"/>
    </row>
    <row r="550">
      <c r="A550" s="3" t="n"/>
      <c r="B550" s="3" t="n"/>
      <c r="C550" s="3" t="n"/>
      <c r="D550" s="3" t="n"/>
      <c r="E550" s="3" t="n"/>
      <c r="F550" s="3" t="n"/>
      <c r="G550" s="3" t="n"/>
      <c r="H550" s="3" t="n"/>
      <c r="I550" s="3" t="n"/>
      <c r="J550" s="3" t="n"/>
      <c r="K550" s="3" t="n"/>
      <c r="L550" s="3" t="n"/>
      <c r="M550" s="3" t="n"/>
      <c r="N550" s="3" t="n"/>
    </row>
    <row r="551">
      <c r="A551" s="3" t="n"/>
      <c r="B551" s="3" t="n"/>
      <c r="C551" s="3" t="n"/>
      <c r="D551" s="3" t="n"/>
      <c r="E551" s="3" t="n"/>
      <c r="F551" s="3" t="n"/>
      <c r="G551" s="3" t="n"/>
      <c r="H551" s="3" t="n"/>
      <c r="I551" s="3" t="n"/>
      <c r="J551" s="3" t="n"/>
      <c r="K551" s="3" t="n"/>
      <c r="L551" s="3" t="n"/>
      <c r="M551" s="3" t="n"/>
      <c r="N551" s="3" t="n"/>
    </row>
    <row r="552">
      <c r="A552" s="3" t="n"/>
      <c r="B552" s="3" t="n"/>
      <c r="C552" s="3" t="n"/>
      <c r="D552" s="3" t="n"/>
      <c r="E552" s="3" t="n"/>
      <c r="F552" s="3" t="n"/>
      <c r="G552" s="3" t="n"/>
      <c r="H552" s="3" t="n"/>
      <c r="I552" s="3" t="n"/>
      <c r="J552" s="3" t="n"/>
      <c r="K552" s="3" t="n"/>
      <c r="L552" s="3" t="n"/>
      <c r="M552" s="3" t="n"/>
      <c r="N552" s="3" t="n"/>
    </row>
    <row r="553">
      <c r="A553" s="3" t="n"/>
      <c r="B553" s="3" t="n"/>
      <c r="C553" s="3" t="n"/>
      <c r="D553" s="3" t="n"/>
      <c r="E553" s="3" t="n"/>
      <c r="F553" s="3" t="n"/>
      <c r="G553" s="3" t="n"/>
      <c r="H553" s="3" t="n"/>
      <c r="I553" s="3" t="n"/>
      <c r="J553" s="3" t="n"/>
      <c r="K553" s="3" t="n"/>
      <c r="L553" s="3" t="n"/>
      <c r="M553" s="3" t="n"/>
      <c r="N553" s="3" t="n"/>
    </row>
    <row r="554">
      <c r="A554" s="3" t="n"/>
      <c r="B554" s="3" t="n"/>
      <c r="C554" s="3" t="n"/>
      <c r="D554" s="3" t="n"/>
      <c r="E554" s="3" t="n"/>
      <c r="F554" s="3" t="n"/>
      <c r="G554" s="3" t="n"/>
      <c r="H554" s="3" t="n"/>
      <c r="I554" s="3" t="n"/>
      <c r="J554" s="3" t="n"/>
      <c r="K554" s="3" t="n"/>
      <c r="L554" s="3" t="n"/>
      <c r="M554" s="3" t="n"/>
      <c r="N554" s="3" t="n"/>
    </row>
    <row r="555">
      <c r="A555" s="3" t="n"/>
      <c r="B555" s="3" t="n"/>
      <c r="C555" s="3" t="n"/>
      <c r="D555" s="3" t="n"/>
      <c r="E555" s="3" t="n"/>
      <c r="F555" s="3" t="n"/>
      <c r="G555" s="3" t="n"/>
      <c r="H555" s="3" t="n"/>
      <c r="I555" s="3" t="n"/>
      <c r="J555" s="3" t="n"/>
      <c r="K555" s="3" t="n"/>
      <c r="L555" s="3" t="n"/>
      <c r="M555" s="3" t="n"/>
      <c r="N555" s="3" t="n"/>
    </row>
    <row r="556">
      <c r="A556" s="3" t="n"/>
      <c r="B556" s="3" t="n"/>
      <c r="C556" s="3" t="n"/>
      <c r="D556" s="3" t="n"/>
      <c r="E556" s="3" t="n"/>
      <c r="F556" s="3" t="n"/>
      <c r="G556" s="3" t="n"/>
      <c r="H556" s="3" t="n"/>
      <c r="I556" s="3" t="n"/>
      <c r="J556" s="3" t="n"/>
      <c r="K556" s="3" t="n"/>
      <c r="L556" s="3" t="n"/>
      <c r="M556" s="3" t="n"/>
      <c r="N556" s="3" t="n"/>
    </row>
    <row r="557">
      <c r="A557" s="3" t="n"/>
      <c r="B557" s="3" t="n"/>
      <c r="C557" s="3" t="n"/>
      <c r="D557" s="3" t="n"/>
      <c r="E557" s="3" t="n"/>
      <c r="F557" s="3" t="n"/>
      <c r="G557" s="3" t="n"/>
      <c r="H557" s="3" t="n"/>
      <c r="I557" s="3" t="n"/>
      <c r="J557" s="3" t="n"/>
      <c r="K557" s="3" t="n"/>
      <c r="L557" s="3" t="n"/>
      <c r="M557" s="3" t="n"/>
      <c r="N557" s="3" t="n"/>
    </row>
    <row r="558">
      <c r="A558" s="3" t="n"/>
      <c r="B558" s="3" t="n"/>
      <c r="C558" s="3" t="n"/>
      <c r="D558" s="3" t="n"/>
      <c r="E558" s="3" t="n"/>
      <c r="F558" s="3" t="n"/>
      <c r="G558" s="3" t="n"/>
      <c r="H558" s="3" t="n"/>
      <c r="I558" s="3" t="n"/>
      <c r="J558" s="3" t="n"/>
      <c r="K558" s="3" t="n"/>
      <c r="L558" s="3" t="n"/>
      <c r="M558" s="3" t="n"/>
      <c r="N558" s="3" t="n"/>
    </row>
    <row r="559">
      <c r="A559" s="3" t="n"/>
      <c r="B559" s="3" t="n"/>
      <c r="C559" s="3" t="n"/>
      <c r="D559" s="3" t="n"/>
      <c r="E559" s="3" t="n"/>
      <c r="F559" s="3" t="n"/>
      <c r="G559" s="3" t="n"/>
      <c r="H559" s="3" t="n"/>
      <c r="I559" s="3" t="n"/>
      <c r="J559" s="3" t="n"/>
      <c r="K559" s="3" t="n"/>
      <c r="L559" s="3" t="n"/>
      <c r="M559" s="3" t="n"/>
      <c r="N559" s="3" t="n"/>
    </row>
    <row r="560">
      <c r="A560" s="3" t="n"/>
      <c r="B560" s="3" t="n"/>
      <c r="C560" s="3" t="n"/>
      <c r="D560" s="3" t="n"/>
      <c r="E560" s="3" t="n"/>
      <c r="F560" s="3" t="n"/>
      <c r="G560" s="3" t="n"/>
      <c r="H560" s="3" t="n"/>
      <c r="I560" s="3" t="n"/>
      <c r="J560" s="3" t="n"/>
      <c r="K560" s="3" t="n"/>
      <c r="L560" s="3" t="n"/>
      <c r="M560" s="3" t="n"/>
      <c r="N560" s="3" t="n"/>
    </row>
    <row r="561">
      <c r="A561" s="3" t="n"/>
      <c r="B561" s="3" t="n"/>
      <c r="C561" s="3" t="n"/>
      <c r="D561" s="3" t="n"/>
      <c r="E561" s="3" t="n"/>
      <c r="F561" s="3" t="n"/>
      <c r="G561" s="3" t="n"/>
      <c r="H561" s="3" t="n"/>
      <c r="I561" s="3" t="n"/>
      <c r="J561" s="3" t="n"/>
      <c r="K561" s="3" t="n"/>
      <c r="L561" s="3" t="n"/>
      <c r="M561" s="3" t="n"/>
      <c r="N561" s="3" t="n"/>
    </row>
    <row r="562">
      <c r="A562" s="3" t="n"/>
      <c r="B562" s="3" t="n"/>
      <c r="C562" s="3" t="n"/>
      <c r="D562" s="3" t="n"/>
      <c r="E562" s="3" t="n"/>
      <c r="F562" s="3" t="n"/>
      <c r="G562" s="3" t="n"/>
      <c r="H562" s="3" t="n"/>
      <c r="I562" s="3" t="n"/>
      <c r="J562" s="3" t="n"/>
      <c r="K562" s="3" t="n"/>
      <c r="L562" s="3" t="n"/>
      <c r="M562" s="3" t="n"/>
      <c r="N562" s="3" t="n"/>
    </row>
    <row r="563">
      <c r="A563" s="3" t="n"/>
      <c r="B563" s="3" t="n"/>
      <c r="C563" s="3" t="n"/>
      <c r="D563" s="3" t="n"/>
      <c r="E563" s="3" t="n"/>
      <c r="F563" s="3" t="n"/>
      <c r="G563" s="3" t="n"/>
      <c r="H563" s="3" t="n"/>
      <c r="I563" s="3" t="n"/>
      <c r="J563" s="3" t="n"/>
      <c r="K563" s="3" t="n"/>
      <c r="L563" s="3" t="n"/>
      <c r="M563" s="3" t="n"/>
      <c r="N563" s="3" t="n"/>
    </row>
    <row r="564">
      <c r="A564" s="3" t="n"/>
      <c r="B564" s="3" t="n"/>
      <c r="C564" s="3" t="n"/>
      <c r="D564" s="3" t="n"/>
      <c r="E564" s="3" t="n"/>
      <c r="F564" s="3" t="n"/>
      <c r="G564" s="3" t="n"/>
      <c r="H564" s="3" t="n"/>
      <c r="I564" s="3" t="n"/>
      <c r="J564" s="3" t="n"/>
      <c r="K564" s="3" t="n"/>
      <c r="L564" s="3" t="n"/>
      <c r="M564" s="3" t="n"/>
      <c r="N564" s="3" t="n"/>
    </row>
    <row r="565">
      <c r="A565" s="3" t="n"/>
      <c r="B565" s="3" t="n"/>
      <c r="C565" s="3" t="n"/>
      <c r="D565" s="3" t="n"/>
      <c r="E565" s="3" t="n"/>
      <c r="F565" s="3" t="n"/>
      <c r="G565" s="3" t="n"/>
      <c r="H565" s="3" t="n"/>
      <c r="I565" s="3" t="n"/>
      <c r="J565" s="3" t="n"/>
      <c r="K565" s="3" t="n"/>
      <c r="L565" s="3" t="n"/>
      <c r="M565" s="3" t="n"/>
      <c r="N565" s="3" t="n"/>
    </row>
    <row r="566">
      <c r="A566" s="3" t="n"/>
      <c r="B566" s="3" t="n"/>
      <c r="C566" s="3" t="n"/>
      <c r="D566" s="3" t="n"/>
      <c r="E566" s="3" t="n"/>
      <c r="F566" s="3" t="n"/>
      <c r="G566" s="3" t="n"/>
      <c r="H566" s="3" t="n"/>
      <c r="I566" s="3" t="n"/>
      <c r="J566" s="3" t="n"/>
      <c r="K566" s="3" t="n"/>
      <c r="L566" s="3" t="n"/>
      <c r="M566" s="3" t="n"/>
      <c r="N566" s="3" t="n"/>
    </row>
    <row r="567">
      <c r="A567" s="3" t="n"/>
      <c r="B567" s="3" t="n"/>
      <c r="C567" s="3" t="n"/>
      <c r="D567" s="3" t="n"/>
      <c r="E567" s="3" t="n"/>
      <c r="F567" s="3" t="n"/>
      <c r="G567" s="3" t="n"/>
      <c r="H567" s="3" t="n"/>
      <c r="I567" s="3" t="n"/>
      <c r="J567" s="3" t="n"/>
      <c r="K567" s="3" t="n"/>
      <c r="L567" s="3" t="n"/>
      <c r="M567" s="3" t="n"/>
      <c r="N567" s="3" t="n"/>
    </row>
    <row r="568">
      <c r="A568" s="3" t="n"/>
      <c r="B568" s="3" t="n"/>
      <c r="C568" s="3" t="n"/>
      <c r="D568" s="3" t="n"/>
      <c r="E568" s="3" t="n"/>
      <c r="F568" s="3" t="n"/>
      <c r="G568" s="3" t="n"/>
      <c r="H568" s="3" t="n"/>
      <c r="I568" s="3" t="n"/>
      <c r="J568" s="3" t="n"/>
      <c r="K568" s="3" t="n"/>
      <c r="L568" s="3" t="n"/>
      <c r="M568" s="3" t="n"/>
      <c r="N568" s="3" t="n"/>
    </row>
    <row r="569">
      <c r="A569" s="3" t="n"/>
      <c r="B569" s="3" t="n"/>
      <c r="C569" s="3" t="n"/>
      <c r="D569" s="3" t="n"/>
      <c r="E569" s="3" t="n"/>
      <c r="F569" s="3" t="n"/>
      <c r="G569" s="3" t="n"/>
      <c r="H569" s="3" t="n"/>
      <c r="I569" s="3" t="n"/>
      <c r="J569" s="3" t="n"/>
      <c r="K569" s="3" t="n"/>
      <c r="L569" s="3" t="n"/>
      <c r="M569" s="3" t="n"/>
      <c r="N569" s="3" t="n"/>
    </row>
    <row r="570">
      <c r="A570" s="3" t="n"/>
      <c r="B570" s="3" t="n"/>
      <c r="C570" s="3" t="n"/>
      <c r="D570" s="3" t="n"/>
      <c r="E570" s="3" t="n"/>
      <c r="F570" s="3" t="n"/>
      <c r="G570" s="3" t="n"/>
      <c r="H570" s="3" t="n"/>
      <c r="I570" s="3" t="n"/>
      <c r="J570" s="3" t="n"/>
      <c r="K570" s="3" t="n"/>
      <c r="L570" s="3" t="n"/>
      <c r="M570" s="3" t="n"/>
      <c r="N570" s="3" t="n"/>
    </row>
    <row r="571">
      <c r="A571" s="3" t="n"/>
      <c r="B571" s="3" t="n"/>
      <c r="C571" s="3" t="n"/>
      <c r="D571" s="3" t="n"/>
      <c r="E571" s="3" t="n"/>
      <c r="F571" s="3" t="n"/>
      <c r="G571" s="3" t="n"/>
      <c r="H571" s="3" t="n"/>
      <c r="I571" s="3" t="n"/>
      <c r="J571" s="3" t="n"/>
      <c r="K571" s="3" t="n"/>
      <c r="L571" s="3" t="n"/>
      <c r="M571" s="3" t="n"/>
      <c r="N571" s="3" t="n"/>
    </row>
    <row r="572">
      <c r="A572" s="3" t="n"/>
      <c r="B572" s="3" t="n"/>
      <c r="C572" s="3" t="n"/>
      <c r="D572" s="3" t="n"/>
      <c r="E572" s="3" t="n"/>
      <c r="F572" s="3" t="n"/>
      <c r="G572" s="3" t="n"/>
      <c r="H572" s="3" t="n"/>
      <c r="I572" s="3" t="n"/>
      <c r="J572" s="3" t="n"/>
      <c r="K572" s="3" t="n"/>
      <c r="L572" s="3" t="n"/>
      <c r="M572" s="3" t="n"/>
      <c r="N572" s="3" t="n"/>
    </row>
    <row r="573">
      <c r="A573" s="3" t="n"/>
      <c r="B573" s="3" t="n"/>
      <c r="C573" s="3" t="n"/>
      <c r="D573" s="3" t="n"/>
      <c r="E573" s="3" t="n"/>
      <c r="F573" s="3" t="n"/>
      <c r="G573" s="3" t="n"/>
      <c r="H573" s="3" t="n"/>
      <c r="I573" s="3" t="n"/>
      <c r="J573" s="3" t="n"/>
      <c r="K573" s="3" t="n"/>
      <c r="L573" s="3" t="n"/>
      <c r="M573" s="3" t="n"/>
      <c r="N573" s="3" t="n"/>
    </row>
    <row r="574">
      <c r="A574" s="3" t="n"/>
      <c r="B574" s="3" t="n"/>
      <c r="C574" s="3" t="n"/>
      <c r="D574" s="3" t="n"/>
      <c r="E574" s="3" t="n"/>
      <c r="F574" s="3" t="n"/>
      <c r="G574" s="3" t="n"/>
      <c r="H574" s="3" t="n"/>
      <c r="I574" s="3" t="n"/>
      <c r="J574" s="3" t="n"/>
      <c r="K574" s="3" t="n"/>
      <c r="L574" s="3" t="n"/>
      <c r="M574" s="3" t="n"/>
      <c r="N574" s="3" t="n"/>
    </row>
    <row r="575">
      <c r="A575" s="3" t="n"/>
      <c r="B575" s="3" t="n"/>
      <c r="C575" s="3" t="n"/>
      <c r="D575" s="3" t="n"/>
      <c r="E575" s="3" t="n"/>
      <c r="F575" s="3" t="n"/>
      <c r="G575" s="3" t="n"/>
      <c r="H575" s="3" t="n"/>
      <c r="I575" s="3" t="n"/>
      <c r="J575" s="3" t="n"/>
      <c r="K575" s="3" t="n"/>
      <c r="L575" s="3" t="n"/>
      <c r="M575" s="3" t="n"/>
      <c r="N575" s="3" t="n"/>
    </row>
    <row r="576">
      <c r="A576" s="3" t="n"/>
      <c r="B576" s="3" t="n"/>
      <c r="C576" s="3" t="n"/>
      <c r="D576" s="3" t="n"/>
      <c r="E576" s="3" t="n"/>
      <c r="F576" s="3" t="n"/>
      <c r="G576" s="3" t="n"/>
      <c r="H576" s="3" t="n"/>
      <c r="I576" s="3" t="n"/>
      <c r="J576" s="3" t="n"/>
      <c r="K576" s="3" t="n"/>
      <c r="L576" s="3" t="n"/>
      <c r="M576" s="3" t="n"/>
      <c r="N576" s="3" t="n"/>
    </row>
    <row r="577">
      <c r="A577" s="3" t="n"/>
      <c r="B577" s="3" t="n"/>
      <c r="C577" s="3" t="n"/>
      <c r="D577" s="3" t="n"/>
      <c r="E577" s="3" t="n"/>
      <c r="F577" s="3" t="n"/>
      <c r="G577" s="3" t="n"/>
      <c r="H577" s="3" t="n"/>
      <c r="I577" s="3" t="n"/>
      <c r="J577" s="3" t="n"/>
      <c r="K577" s="3" t="n"/>
      <c r="L577" s="3" t="n"/>
      <c r="M577" s="3" t="n"/>
      <c r="N577" s="3" t="n"/>
    </row>
    <row r="578">
      <c r="A578" s="3" t="n"/>
      <c r="B578" s="3" t="n"/>
      <c r="C578" s="3" t="n"/>
      <c r="D578" s="3" t="n"/>
      <c r="E578" s="3" t="n"/>
      <c r="F578" s="3" t="n"/>
      <c r="G578" s="3" t="n"/>
      <c r="H578" s="3" t="n"/>
      <c r="I578" s="3" t="n"/>
      <c r="J578" s="3" t="n"/>
      <c r="K578" s="3" t="n"/>
      <c r="L578" s="3" t="n"/>
      <c r="M578" s="3" t="n"/>
      <c r="N578" s="3" t="n"/>
    </row>
    <row r="579">
      <c r="A579" s="3" t="n"/>
      <c r="B579" s="3" t="n"/>
      <c r="C579" s="3" t="n"/>
      <c r="D579" s="3" t="n"/>
      <c r="E579" s="3" t="n"/>
      <c r="F579" s="3" t="n"/>
      <c r="G579" s="3" t="n"/>
      <c r="H579" s="3" t="n"/>
      <c r="I579" s="3" t="n"/>
      <c r="J579" s="3" t="n"/>
      <c r="K579" s="3" t="n"/>
      <c r="L579" s="3" t="n"/>
      <c r="M579" s="3" t="n"/>
      <c r="N579" s="3" t="n"/>
    </row>
    <row r="580">
      <c r="A580" s="3" t="n"/>
      <c r="B580" s="3" t="n"/>
      <c r="C580" s="3" t="n"/>
      <c r="D580" s="3" t="n"/>
      <c r="E580" s="3" t="n"/>
      <c r="F580" s="3" t="n"/>
      <c r="G580" s="3" t="n"/>
      <c r="H580" s="3" t="n"/>
      <c r="I580" s="3" t="n"/>
      <c r="J580" s="3" t="n"/>
      <c r="K580" s="3" t="n"/>
      <c r="L580" s="3" t="n"/>
      <c r="M580" s="3" t="n"/>
      <c r="N580" s="3" t="n"/>
    </row>
    <row r="581">
      <c r="A581" s="3" t="n"/>
      <c r="B581" s="3" t="n"/>
      <c r="C581" s="3" t="n"/>
      <c r="D581" s="3" t="n"/>
      <c r="E581" s="3" t="n"/>
      <c r="F581" s="3" t="n"/>
      <c r="G581" s="3" t="n"/>
      <c r="H581" s="3" t="n"/>
      <c r="I581" s="3" t="n"/>
      <c r="J581" s="3" t="n"/>
      <c r="K581" s="3" t="n"/>
      <c r="L581" s="3" t="n"/>
      <c r="M581" s="3" t="n"/>
      <c r="N581" s="3" t="n"/>
    </row>
    <row r="582">
      <c r="A582" s="3" t="n"/>
      <c r="B582" s="3" t="n"/>
      <c r="C582" s="3" t="n"/>
      <c r="D582" s="3" t="n"/>
      <c r="E582" s="3" t="n"/>
      <c r="F582" s="3" t="n"/>
      <c r="G582" s="3" t="n"/>
      <c r="H582" s="3" t="n"/>
      <c r="I582" s="3" t="n"/>
      <c r="J582" s="3" t="n"/>
      <c r="K582" s="3" t="n"/>
      <c r="L582" s="3" t="n"/>
      <c r="M582" s="3" t="n"/>
      <c r="N582" s="3" t="n"/>
    </row>
    <row r="583">
      <c r="A583" s="3" t="n"/>
      <c r="B583" s="3" t="n"/>
      <c r="C583" s="3" t="n"/>
      <c r="D583" s="3" t="n"/>
      <c r="E583" s="3" t="n"/>
      <c r="F583" s="3" t="n"/>
      <c r="G583" s="3" t="n"/>
      <c r="H583" s="3" t="n"/>
      <c r="I583" s="3" t="n"/>
      <c r="J583" s="3" t="n"/>
      <c r="K583" s="3" t="n"/>
      <c r="L583" s="3" t="n"/>
      <c r="M583" s="3" t="n"/>
      <c r="N583" s="3" t="n"/>
    </row>
    <row r="584">
      <c r="A584" s="3" t="n"/>
      <c r="B584" s="3" t="n"/>
      <c r="C584" s="3" t="n"/>
      <c r="D584" s="3" t="n"/>
      <c r="E584" s="3" t="n"/>
      <c r="F584" s="3" t="n"/>
      <c r="G584" s="3" t="n"/>
      <c r="H584" s="3" t="n"/>
      <c r="I584" s="3" t="n"/>
      <c r="J584" s="3" t="n"/>
      <c r="K584" s="3" t="n"/>
      <c r="L584" s="3" t="n"/>
      <c r="M584" s="3" t="n"/>
      <c r="N584" s="3" t="n"/>
    </row>
    <row r="585">
      <c r="A585" s="3" t="n"/>
      <c r="B585" s="3" t="n"/>
      <c r="C585" s="3" t="n"/>
      <c r="D585" s="3" t="n"/>
      <c r="E585" s="3" t="n"/>
      <c r="F585" s="3" t="n"/>
      <c r="G585" s="3" t="n"/>
      <c r="H585" s="3" t="n"/>
      <c r="I585" s="3" t="n"/>
      <c r="J585" s="3" t="n"/>
      <c r="K585" s="3" t="n"/>
      <c r="L585" s="3" t="n"/>
      <c r="M585" s="3" t="n"/>
      <c r="N585" s="3" t="n"/>
    </row>
    <row r="586">
      <c r="A586" s="3" t="n"/>
      <c r="B586" s="3" t="n"/>
      <c r="C586" s="3" t="n"/>
      <c r="D586" s="3" t="n"/>
      <c r="E586" s="3" t="n"/>
      <c r="F586" s="3" t="n"/>
      <c r="G586" s="3" t="n"/>
      <c r="H586" s="3" t="n"/>
      <c r="I586" s="3" t="n"/>
      <c r="J586" s="3" t="n"/>
      <c r="K586" s="3" t="n"/>
      <c r="L586" s="3" t="n"/>
      <c r="M586" s="3" t="n"/>
      <c r="N586" s="3" t="n"/>
    </row>
    <row r="587">
      <c r="A587" s="3" t="n"/>
      <c r="B587" s="3" t="n"/>
      <c r="C587" s="3" t="n"/>
      <c r="D587" s="3" t="n"/>
      <c r="E587" s="3" t="n"/>
      <c r="F587" s="3" t="n"/>
      <c r="G587" s="3" t="n"/>
      <c r="H587" s="3" t="n"/>
      <c r="I587" s="3" t="n"/>
      <c r="J587" s="3" t="n"/>
      <c r="K587" s="3" t="n"/>
      <c r="L587" s="3" t="n"/>
      <c r="M587" s="3" t="n"/>
      <c r="N587" s="3" t="n"/>
    </row>
    <row r="588">
      <c r="A588" s="3" t="n"/>
      <c r="B588" s="3" t="n"/>
      <c r="C588" s="3" t="n"/>
      <c r="D588" s="3" t="n"/>
      <c r="E588" s="3" t="n"/>
      <c r="F588" s="3" t="n"/>
      <c r="G588" s="3" t="n"/>
      <c r="H588" s="3" t="n"/>
      <c r="I588" s="3" t="n"/>
      <c r="J588" s="3" t="n"/>
      <c r="K588" s="3" t="n"/>
      <c r="L588" s="3" t="n"/>
      <c r="M588" s="3" t="n"/>
      <c r="N588" s="3" t="n"/>
    </row>
    <row r="589">
      <c r="A589" s="3" t="n"/>
      <c r="B589" s="3" t="n"/>
      <c r="C589" s="3" t="n"/>
      <c r="D589" s="3" t="n"/>
      <c r="E589" s="3" t="n"/>
      <c r="F589" s="3" t="n"/>
      <c r="G589" s="3" t="n"/>
      <c r="H589" s="3" t="n"/>
      <c r="I589" s="3" t="n"/>
      <c r="J589" s="3" t="n"/>
      <c r="K589" s="3" t="n"/>
      <c r="L589" s="3" t="n"/>
      <c r="M589" s="3" t="n"/>
      <c r="N589" s="3" t="n"/>
    </row>
    <row r="590">
      <c r="A590" s="3" t="n"/>
      <c r="B590" s="3" t="n"/>
      <c r="C590" s="3" t="n"/>
      <c r="D590" s="3" t="n"/>
      <c r="E590" s="3" t="n"/>
      <c r="F590" s="3" t="n"/>
      <c r="G590" s="3" t="n"/>
      <c r="H590" s="3" t="n"/>
      <c r="I590" s="3" t="n"/>
      <c r="J590" s="3" t="n"/>
      <c r="K590" s="3" t="n"/>
      <c r="L590" s="3" t="n"/>
      <c r="M590" s="3" t="n"/>
      <c r="N590" s="3" t="n"/>
    </row>
    <row r="591">
      <c r="A591" s="3" t="n"/>
      <c r="B591" s="3" t="n"/>
      <c r="C591" s="3" t="n"/>
      <c r="D591" s="3" t="n"/>
      <c r="E591" s="3" t="n"/>
      <c r="F591" s="3" t="n"/>
      <c r="G591" s="3" t="n"/>
      <c r="H591" s="3" t="n"/>
      <c r="I591" s="3" t="n"/>
      <c r="J591" s="3" t="n"/>
      <c r="K591" s="3" t="n"/>
      <c r="L591" s="3" t="n"/>
      <c r="M591" s="3" t="n"/>
      <c r="N591" s="3" t="n"/>
    </row>
    <row r="592">
      <c r="A592" s="3" t="n"/>
      <c r="B592" s="3" t="n"/>
      <c r="C592" s="3" t="n"/>
      <c r="D592" s="3" t="n"/>
      <c r="E592" s="3" t="n"/>
      <c r="F592" s="3" t="n"/>
      <c r="G592" s="3" t="n"/>
      <c r="H592" s="3" t="n"/>
      <c r="I592" s="3" t="n"/>
      <c r="J592" s="3" t="n"/>
      <c r="K592" s="3" t="n"/>
      <c r="L592" s="3" t="n"/>
      <c r="M592" s="3" t="n"/>
      <c r="N592" s="3" t="n"/>
    </row>
    <row r="593">
      <c r="A593" s="3" t="n"/>
      <c r="B593" s="3" t="n"/>
      <c r="C593" s="3" t="n"/>
      <c r="D593" s="3" t="n"/>
      <c r="E593" s="3" t="n"/>
      <c r="F593" s="3" t="n"/>
      <c r="G593" s="3" t="n"/>
      <c r="H593" s="3" t="n"/>
      <c r="I593" s="3" t="n"/>
      <c r="J593" s="3" t="n"/>
      <c r="K593" s="3" t="n"/>
      <c r="L593" s="3" t="n"/>
      <c r="M593" s="3" t="n"/>
      <c r="N593" s="3" t="n"/>
    </row>
    <row r="594">
      <c r="A594" s="3" t="n"/>
      <c r="B594" s="3" t="n"/>
      <c r="C594" s="3" t="n"/>
      <c r="D594" s="3" t="n"/>
      <c r="E594" s="3" t="n"/>
      <c r="F594" s="3" t="n"/>
      <c r="G594" s="3" t="n"/>
      <c r="H594" s="3" t="n"/>
      <c r="I594" s="3" t="n"/>
      <c r="J594" s="3" t="n"/>
      <c r="K594" s="3" t="n"/>
      <c r="L594" s="3" t="n"/>
      <c r="M594" s="3" t="n"/>
      <c r="N594" s="3" t="n"/>
    </row>
    <row r="595">
      <c r="A595" s="3" t="n"/>
      <c r="B595" s="3" t="n"/>
      <c r="C595" s="3" t="n"/>
      <c r="D595" s="3" t="n"/>
      <c r="E595" s="3" t="n"/>
      <c r="F595" s="3" t="n"/>
      <c r="G595" s="3" t="n"/>
      <c r="H595" s="3" t="n"/>
      <c r="I595" s="3" t="n"/>
      <c r="J595" s="3" t="n"/>
      <c r="K595" s="3" t="n"/>
      <c r="L595" s="3" t="n"/>
      <c r="M595" s="3" t="n"/>
      <c r="N595" s="3" t="n"/>
    </row>
    <row r="596">
      <c r="A596" s="3" t="n"/>
      <c r="B596" s="3" t="n"/>
      <c r="C596" s="3" t="n"/>
      <c r="D596" s="3" t="n"/>
      <c r="E596" s="3" t="n"/>
      <c r="F596" s="3" t="n"/>
      <c r="G596" s="3" t="n"/>
      <c r="H596" s="3" t="n"/>
      <c r="I596" s="3" t="n"/>
      <c r="J596" s="3" t="n"/>
      <c r="K596" s="3" t="n"/>
      <c r="L596" s="3" t="n"/>
      <c r="M596" s="3" t="n"/>
      <c r="N596" s="3" t="n"/>
    </row>
    <row r="597">
      <c r="A597" s="3" t="n"/>
      <c r="B597" s="3" t="n"/>
      <c r="C597" s="3" t="n"/>
      <c r="D597" s="3" t="n"/>
      <c r="E597" s="3" t="n"/>
      <c r="F597" s="3" t="n"/>
      <c r="G597" s="3" t="n"/>
      <c r="H597" s="3" t="n"/>
      <c r="I597" s="3" t="n"/>
      <c r="J597" s="3" t="n"/>
      <c r="K597" s="3" t="n"/>
      <c r="L597" s="3" t="n"/>
      <c r="M597" s="3" t="n"/>
      <c r="N597" s="3" t="n"/>
    </row>
    <row r="598">
      <c r="A598" s="3" t="n"/>
      <c r="B598" s="3" t="n"/>
      <c r="C598" s="3" t="n"/>
      <c r="D598" s="3" t="n"/>
      <c r="E598" s="3" t="n"/>
      <c r="F598" s="3" t="n"/>
      <c r="G598" s="3" t="n"/>
      <c r="H598" s="3" t="n"/>
      <c r="I598" s="3" t="n"/>
      <c r="J598" s="3" t="n"/>
      <c r="K598" s="3" t="n"/>
      <c r="L598" s="3" t="n"/>
      <c r="M598" s="3" t="n"/>
      <c r="N598" s="3" t="n"/>
    </row>
    <row r="599">
      <c r="A599" s="3" t="n"/>
      <c r="B599" s="3" t="n"/>
      <c r="C599" s="3" t="n"/>
      <c r="D599" s="3" t="n"/>
      <c r="E599" s="3" t="n"/>
      <c r="F599" s="3" t="n"/>
      <c r="G599" s="3" t="n"/>
      <c r="H599" s="3" t="n"/>
      <c r="I599" s="3" t="n"/>
      <c r="J599" s="3" t="n"/>
      <c r="K599" s="3" t="n"/>
      <c r="L599" s="3" t="n"/>
      <c r="M599" s="3" t="n"/>
      <c r="N599" s="3" t="n"/>
    </row>
    <row r="600">
      <c r="A600" s="3" t="n"/>
      <c r="B600" s="3" t="n"/>
      <c r="C600" s="3" t="n"/>
      <c r="D600" s="3" t="n"/>
      <c r="E600" s="3" t="n"/>
      <c r="F600" s="3" t="n"/>
      <c r="G600" s="3" t="n"/>
      <c r="H600" s="3" t="n"/>
      <c r="I600" s="3" t="n"/>
      <c r="J600" s="3" t="n"/>
      <c r="K600" s="3" t="n"/>
      <c r="L600" s="3" t="n"/>
      <c r="M600" s="3" t="n"/>
      <c r="N600" s="3" t="n"/>
    </row>
    <row r="601">
      <c r="A601" s="3" t="n"/>
      <c r="B601" s="3" t="n"/>
      <c r="C601" s="3" t="n"/>
      <c r="D601" s="3" t="n"/>
      <c r="E601" s="3" t="n"/>
      <c r="F601" s="3" t="n"/>
      <c r="G601" s="3" t="n"/>
      <c r="H601" s="3" t="n"/>
      <c r="I601" s="3" t="n"/>
      <c r="J601" s="3" t="n"/>
      <c r="K601" s="3" t="n"/>
      <c r="L601" s="3" t="n"/>
      <c r="M601" s="3" t="n"/>
      <c r="N601" s="3" t="n"/>
    </row>
    <row r="602">
      <c r="A602" s="3" t="n"/>
      <c r="B602" s="3" t="n"/>
      <c r="C602" s="3" t="n"/>
      <c r="D602" s="3" t="n"/>
      <c r="E602" s="3" t="n"/>
      <c r="F602" s="3" t="n"/>
      <c r="G602" s="3" t="n"/>
      <c r="H602" s="3" t="n"/>
      <c r="I602" s="3" t="n"/>
      <c r="J602" s="3" t="n"/>
      <c r="K602" s="3" t="n"/>
      <c r="L602" s="3" t="n"/>
      <c r="M602" s="3" t="n"/>
      <c r="N602" s="3" t="n"/>
    </row>
    <row r="603">
      <c r="A603" s="3" t="n"/>
      <c r="B603" s="3" t="n"/>
      <c r="C603" s="3" t="n"/>
      <c r="D603" s="3" t="n"/>
      <c r="E603" s="3" t="n"/>
      <c r="F603" s="3" t="n"/>
      <c r="G603" s="3" t="n"/>
      <c r="H603" s="3" t="n"/>
      <c r="I603" s="3" t="n"/>
      <c r="J603" s="3" t="n"/>
      <c r="K603" s="3" t="n"/>
      <c r="L603" s="3" t="n"/>
      <c r="M603" s="3" t="n"/>
      <c r="N603" s="3" t="n"/>
    </row>
    <row r="604">
      <c r="A604" s="3" t="n"/>
      <c r="B604" s="3" t="n"/>
      <c r="C604" s="3" t="n"/>
      <c r="D604" s="3" t="n"/>
      <c r="E604" s="3" t="n"/>
      <c r="F604" s="3" t="n"/>
      <c r="G604" s="3" t="n"/>
      <c r="H604" s="3" t="n"/>
      <c r="I604" s="3" t="n"/>
      <c r="J604" s="3" t="n"/>
      <c r="K604" s="3" t="n"/>
      <c r="L604" s="3" t="n"/>
      <c r="M604" s="3" t="n"/>
      <c r="N604" s="3" t="n"/>
    </row>
    <row r="605">
      <c r="A605" s="3" t="n"/>
      <c r="B605" s="3" t="n"/>
      <c r="C605" s="3" t="n"/>
      <c r="D605" s="3" t="n"/>
      <c r="E605" s="3" t="n"/>
      <c r="F605" s="3" t="n"/>
      <c r="G605" s="3" t="n"/>
      <c r="H605" s="3" t="n"/>
      <c r="I605" s="3" t="n"/>
      <c r="J605" s="3" t="n"/>
      <c r="K605" s="3" t="n"/>
      <c r="L605" s="3" t="n"/>
      <c r="M605" s="3" t="n"/>
      <c r="N605" s="3" t="n"/>
    </row>
    <row r="606">
      <c r="A606" s="3" t="n"/>
      <c r="B606" s="3" t="n"/>
      <c r="C606" s="3" t="n"/>
      <c r="D606" s="3" t="n"/>
      <c r="E606" s="3" t="n"/>
      <c r="F606" s="3" t="n"/>
      <c r="G606" s="3" t="n"/>
      <c r="H606" s="3" t="n"/>
      <c r="I606" s="3" t="n"/>
      <c r="J606" s="3" t="n"/>
      <c r="K606" s="3" t="n"/>
      <c r="L606" s="3" t="n"/>
      <c r="M606" s="3" t="n"/>
      <c r="N606" s="3" t="n"/>
    </row>
    <row r="607">
      <c r="A607" s="3" t="n"/>
      <c r="B607" s="3" t="n"/>
      <c r="C607" s="3" t="n"/>
      <c r="D607" s="3" t="n"/>
      <c r="E607" s="3" t="n"/>
      <c r="F607" s="3" t="n"/>
      <c r="G607" s="3" t="n"/>
      <c r="H607" s="3" t="n"/>
      <c r="I607" s="3" t="n"/>
      <c r="J607" s="3" t="n"/>
      <c r="K607" s="3" t="n"/>
      <c r="L607" s="3" t="n"/>
      <c r="M607" s="3" t="n"/>
      <c r="N607" s="3" t="n"/>
    </row>
    <row r="608">
      <c r="A608" s="3" t="n"/>
      <c r="B608" s="3" t="n"/>
      <c r="C608" s="3" t="n"/>
      <c r="D608" s="3" t="n"/>
      <c r="E608" s="3" t="n"/>
      <c r="F608" s="3" t="n"/>
      <c r="G608" s="3" t="n"/>
      <c r="H608" s="3" t="n"/>
      <c r="I608" s="3" t="n"/>
      <c r="J608" s="3" t="n"/>
      <c r="K608" s="3" t="n"/>
      <c r="L608" s="3" t="n"/>
      <c r="M608" s="3" t="n"/>
      <c r="N608" s="3" t="n"/>
    </row>
    <row r="609">
      <c r="A609" s="3" t="n"/>
      <c r="B609" s="3" t="n"/>
      <c r="C609" s="3" t="n"/>
      <c r="D609" s="3" t="n"/>
      <c r="E609" s="3" t="n"/>
      <c r="F609" s="3" t="n"/>
      <c r="G609" s="3" t="n"/>
      <c r="H609" s="3" t="n"/>
      <c r="I609" s="3" t="n"/>
      <c r="J609" s="3" t="n"/>
      <c r="K609" s="3" t="n"/>
      <c r="L609" s="3" t="n"/>
      <c r="M609" s="3" t="n"/>
      <c r="N609" s="3" t="n"/>
    </row>
    <row r="610">
      <c r="A610" s="3" t="n"/>
      <c r="B610" s="3" t="n"/>
      <c r="C610" s="3" t="n"/>
      <c r="D610" s="3" t="n"/>
      <c r="E610" s="3" t="n"/>
      <c r="F610" s="3" t="n"/>
      <c r="G610" s="3" t="n"/>
      <c r="H610" s="3" t="n"/>
      <c r="I610" s="3" t="n"/>
      <c r="J610" s="3" t="n"/>
      <c r="K610" s="3" t="n"/>
      <c r="L610" s="3" t="n"/>
      <c r="M610" s="3" t="n"/>
      <c r="N610" s="3" t="n"/>
    </row>
    <row r="611">
      <c r="A611" s="3" t="n"/>
      <c r="B611" s="3" t="n"/>
      <c r="C611" s="3" t="n"/>
      <c r="D611" s="3" t="n"/>
      <c r="E611" s="3" t="n"/>
      <c r="F611" s="3" t="n"/>
      <c r="G611" s="3" t="n"/>
      <c r="H611" s="3" t="n"/>
      <c r="I611" s="3" t="n"/>
      <c r="J611" s="3" t="n"/>
      <c r="K611" s="3" t="n"/>
      <c r="L611" s="3" t="n"/>
      <c r="M611" s="3" t="n"/>
      <c r="N611" s="3" t="n"/>
    </row>
    <row r="612">
      <c r="A612" s="3" t="n"/>
      <c r="B612" s="3" t="n"/>
      <c r="C612" s="3" t="n"/>
      <c r="D612" s="3" t="n"/>
      <c r="E612" s="3" t="n"/>
      <c r="F612" s="3" t="n"/>
      <c r="G612" s="3" t="n"/>
      <c r="H612" s="3" t="n"/>
      <c r="I612" s="3" t="n"/>
      <c r="J612" s="3" t="n"/>
      <c r="K612" s="3" t="n"/>
      <c r="L612" s="3" t="n"/>
      <c r="M612" s="3" t="n"/>
      <c r="N612" s="3" t="n"/>
    </row>
    <row r="613">
      <c r="A613" s="3" t="n"/>
      <c r="B613" s="3" t="n"/>
      <c r="C613" s="3" t="n"/>
      <c r="D613" s="3" t="n"/>
      <c r="E613" s="3" t="n"/>
      <c r="F613" s="3" t="n"/>
      <c r="G613" s="3" t="n"/>
      <c r="H613" s="3" t="n"/>
      <c r="I613" s="3" t="n"/>
      <c r="J613" s="3" t="n"/>
      <c r="K613" s="3" t="n"/>
      <c r="L613" s="3" t="n"/>
      <c r="M613" s="3" t="n"/>
      <c r="N613" s="3" t="n"/>
    </row>
    <row r="614">
      <c r="A614" s="3" t="n"/>
      <c r="B614" s="3" t="n"/>
      <c r="C614" s="3" t="n"/>
      <c r="D614" s="3" t="n"/>
      <c r="E614" s="3" t="n"/>
      <c r="F614" s="3" t="n"/>
      <c r="G614" s="3" t="n"/>
      <c r="H614" s="3" t="n"/>
      <c r="I614" s="3" t="n"/>
      <c r="J614" s="3" t="n"/>
      <c r="K614" s="3" t="n"/>
      <c r="L614" s="3" t="n"/>
      <c r="M614" s="3" t="n"/>
      <c r="N614" s="3" t="n"/>
    </row>
    <row r="615">
      <c r="A615" s="3" t="n"/>
      <c r="B615" s="3" t="n"/>
      <c r="C615" s="3" t="n"/>
      <c r="D615" s="3" t="n"/>
      <c r="E615" s="3" t="n"/>
      <c r="F615" s="3" t="n"/>
      <c r="G615" s="3" t="n"/>
      <c r="H615" s="3" t="n"/>
      <c r="I615" s="3" t="n"/>
      <c r="J615" s="3" t="n"/>
      <c r="K615" s="3" t="n"/>
      <c r="L615" s="3" t="n"/>
      <c r="M615" s="3" t="n"/>
      <c r="N615" s="3" t="n"/>
    </row>
    <row r="616">
      <c r="A616" s="3" t="n"/>
      <c r="B616" s="3" t="n"/>
      <c r="C616" s="3" t="n"/>
      <c r="D616" s="3" t="n"/>
      <c r="E616" s="3" t="n"/>
      <c r="F616" s="3" t="n"/>
      <c r="G616" s="3" t="n"/>
      <c r="H616" s="3" t="n"/>
      <c r="I616" s="3" t="n"/>
      <c r="J616" s="3" t="n"/>
      <c r="K616" s="3" t="n"/>
      <c r="L616" s="3" t="n"/>
      <c r="M616" s="3" t="n"/>
      <c r="N616" s="3" t="n"/>
    </row>
    <row r="617">
      <c r="A617" s="3" t="n"/>
      <c r="B617" s="3" t="n"/>
      <c r="C617" s="3" t="n"/>
      <c r="D617" s="3" t="n"/>
      <c r="E617" s="3" t="n"/>
      <c r="F617" s="3" t="n"/>
      <c r="G617" s="3" t="n"/>
      <c r="H617" s="3" t="n"/>
      <c r="I617" s="3" t="n"/>
      <c r="J617" s="3" t="n"/>
      <c r="K617" s="3" t="n"/>
      <c r="L617" s="3" t="n"/>
      <c r="M617" s="3" t="n"/>
      <c r="N617" s="3" t="n"/>
    </row>
    <row r="618">
      <c r="A618" s="3" t="n"/>
      <c r="B618" s="3" t="n"/>
      <c r="C618" s="3" t="n"/>
      <c r="D618" s="3" t="n"/>
      <c r="E618" s="3" t="n"/>
      <c r="F618" s="3" t="n"/>
      <c r="G618" s="3" t="n"/>
      <c r="H618" s="3" t="n"/>
      <c r="I618" s="3" t="n"/>
      <c r="J618" s="3" t="n"/>
      <c r="K618" s="3" t="n"/>
      <c r="L618" s="3" t="n"/>
      <c r="M618" s="3" t="n"/>
      <c r="N618" s="3" t="n"/>
    </row>
    <row r="619">
      <c r="A619" s="3" t="n"/>
      <c r="B619" s="3" t="n"/>
      <c r="C619" s="3" t="n"/>
      <c r="D619" s="3" t="n"/>
      <c r="E619" s="3" t="n"/>
      <c r="F619" s="3" t="n"/>
      <c r="G619" s="3" t="n"/>
      <c r="H619" s="3" t="n"/>
      <c r="I619" s="3" t="n"/>
      <c r="J619" s="3" t="n"/>
      <c r="K619" s="3" t="n"/>
      <c r="L619" s="3" t="n"/>
      <c r="M619" s="3" t="n"/>
      <c r="N619" s="3" t="n"/>
    </row>
    <row r="620">
      <c r="A620" s="3" t="n"/>
      <c r="B620" s="3" t="n"/>
      <c r="C620" s="3" t="n"/>
      <c r="D620" s="3" t="n"/>
      <c r="E620" s="3" t="n"/>
      <c r="F620" s="3" t="n"/>
      <c r="G620" s="3" t="n"/>
      <c r="H620" s="3" t="n"/>
      <c r="I620" s="3" t="n"/>
      <c r="J620" s="3" t="n"/>
      <c r="K620" s="3" t="n"/>
      <c r="L620" s="3" t="n"/>
      <c r="M620" s="3" t="n"/>
      <c r="N620" s="3" t="n"/>
    </row>
    <row r="621">
      <c r="A621" s="3" t="n"/>
      <c r="B621" s="3" t="n"/>
      <c r="C621" s="3" t="n"/>
      <c r="D621" s="3" t="n"/>
      <c r="E621" s="3" t="n"/>
      <c r="F621" s="3" t="n"/>
      <c r="G621" s="3" t="n"/>
      <c r="H621" s="3" t="n"/>
      <c r="I621" s="3" t="n"/>
      <c r="J621" s="3" t="n"/>
      <c r="K621" s="3" t="n"/>
      <c r="L621" s="3" t="n"/>
      <c r="M621" s="3" t="n"/>
      <c r="N621" s="3" t="n"/>
    </row>
    <row r="622">
      <c r="A622" s="3" t="n"/>
      <c r="B622" s="3" t="n"/>
      <c r="C622" s="3" t="n"/>
      <c r="D622" s="3" t="n"/>
      <c r="E622" s="3" t="n"/>
      <c r="F622" s="3" t="n"/>
      <c r="G622" s="3" t="n"/>
      <c r="H622" s="3" t="n"/>
      <c r="I622" s="3" t="n"/>
      <c r="J622" s="3" t="n"/>
      <c r="K622" s="3" t="n"/>
      <c r="L622" s="3" t="n"/>
      <c r="M622" s="3" t="n"/>
      <c r="N622" s="3" t="n"/>
    </row>
    <row r="623">
      <c r="A623" s="3" t="n"/>
      <c r="B623" s="3" t="n"/>
      <c r="C623" s="3" t="n"/>
      <c r="D623" s="3" t="n"/>
      <c r="E623" s="3" t="n"/>
      <c r="F623" s="3" t="n"/>
      <c r="G623" s="3" t="n"/>
      <c r="H623" s="3" t="n"/>
      <c r="I623" s="3" t="n"/>
      <c r="J623" s="3" t="n"/>
      <c r="K623" s="3" t="n"/>
      <c r="L623" s="3" t="n"/>
      <c r="M623" s="3" t="n"/>
      <c r="N623" s="3" t="n"/>
    </row>
    <row r="624">
      <c r="A624" s="3" t="n"/>
      <c r="B624" s="3" t="n"/>
      <c r="C624" s="3" t="n"/>
      <c r="D624" s="3" t="n"/>
      <c r="E624" s="3" t="n"/>
      <c r="F624" s="3" t="n"/>
      <c r="G624" s="3" t="n"/>
      <c r="H624" s="3" t="n"/>
      <c r="I624" s="3" t="n"/>
      <c r="J624" s="3" t="n"/>
      <c r="K624" s="3" t="n"/>
      <c r="L624" s="3" t="n"/>
      <c r="M624" s="3" t="n"/>
      <c r="N624" s="3" t="n"/>
    </row>
    <row r="625">
      <c r="A625" s="3" t="n"/>
      <c r="B625" s="3" t="n"/>
      <c r="C625" s="3" t="n"/>
      <c r="D625" s="3" t="n"/>
      <c r="E625" s="3" t="n"/>
      <c r="F625" s="3" t="n"/>
      <c r="G625" s="3" t="n"/>
      <c r="H625" s="3" t="n"/>
      <c r="I625" s="3" t="n"/>
      <c r="J625" s="3" t="n"/>
      <c r="K625" s="3" t="n"/>
      <c r="L625" s="3" t="n"/>
      <c r="M625" s="3" t="n"/>
      <c r="N625" s="3" t="n"/>
    </row>
    <row r="626">
      <c r="A626" s="3" t="n"/>
      <c r="B626" s="3" t="n"/>
      <c r="C626" s="3" t="n"/>
      <c r="D626" s="3" t="n"/>
      <c r="E626" s="3" t="n"/>
      <c r="F626" s="3" t="n"/>
      <c r="G626" s="3" t="n"/>
      <c r="H626" s="3" t="n"/>
      <c r="I626" s="3" t="n"/>
      <c r="J626" s="3" t="n"/>
      <c r="K626" s="3" t="n"/>
      <c r="L626" s="3" t="n"/>
      <c r="M626" s="3" t="n"/>
      <c r="N626" s="3" t="n"/>
    </row>
    <row r="627">
      <c r="A627" s="3" t="n"/>
      <c r="B627" s="3" t="n"/>
      <c r="C627" s="3" t="n"/>
      <c r="D627" s="3" t="n"/>
      <c r="E627" s="3" t="n"/>
      <c r="F627" s="3" t="n"/>
      <c r="G627" s="3" t="n"/>
      <c r="H627" s="3" t="n"/>
      <c r="I627" s="3" t="n"/>
      <c r="J627" s="3" t="n"/>
      <c r="K627" s="3" t="n"/>
      <c r="L627" s="3" t="n"/>
      <c r="M627" s="3" t="n"/>
      <c r="N627" s="3" t="n"/>
    </row>
    <row r="628">
      <c r="A628" s="3" t="n"/>
      <c r="B628" s="3" t="n"/>
      <c r="C628" s="3" t="n"/>
      <c r="D628" s="3" t="n"/>
      <c r="E628" s="3" t="n"/>
      <c r="F628" s="3" t="n"/>
      <c r="G628" s="3" t="n"/>
      <c r="H628" s="3" t="n"/>
      <c r="I628" s="3" t="n"/>
      <c r="J628" s="3" t="n"/>
      <c r="K628" s="3" t="n"/>
      <c r="L628" s="3" t="n"/>
      <c r="M628" s="3" t="n"/>
      <c r="N628" s="3" t="n"/>
    </row>
    <row r="629">
      <c r="A629" s="3" t="n"/>
      <c r="B629" s="3" t="n"/>
      <c r="C629" s="3" t="n"/>
      <c r="D629" s="3" t="n"/>
      <c r="E629" s="3" t="n"/>
      <c r="F629" s="3" t="n"/>
      <c r="G629" s="3" t="n"/>
      <c r="H629" s="3" t="n"/>
      <c r="I629" s="3" t="n"/>
      <c r="J629" s="3" t="n"/>
      <c r="K629" s="3" t="n"/>
      <c r="L629" s="3" t="n"/>
      <c r="M629" s="3" t="n"/>
      <c r="N629" s="3" t="n"/>
    </row>
    <row r="630">
      <c r="A630" s="3" t="n"/>
      <c r="B630" s="3" t="n"/>
      <c r="C630" s="3" t="n"/>
      <c r="D630" s="3" t="n"/>
      <c r="E630" s="3" t="n"/>
      <c r="F630" s="3" t="n"/>
      <c r="G630" s="3" t="n"/>
      <c r="H630" s="3" t="n"/>
      <c r="I630" s="3" t="n"/>
      <c r="J630" s="3" t="n"/>
      <c r="K630" s="3" t="n"/>
      <c r="L630" s="3" t="n"/>
      <c r="M630" s="3" t="n"/>
      <c r="N630" s="3" t="n"/>
    </row>
    <row r="631">
      <c r="A631" s="3" t="n"/>
      <c r="B631" s="3" t="n"/>
      <c r="C631" s="3" t="n"/>
      <c r="D631" s="3" t="n"/>
      <c r="E631" s="3" t="n"/>
      <c r="F631" s="3" t="n"/>
      <c r="G631" s="3" t="n"/>
      <c r="H631" s="3" t="n"/>
      <c r="I631" s="3" t="n"/>
      <c r="J631" s="3" t="n"/>
      <c r="K631" s="3" t="n"/>
      <c r="L631" s="3" t="n"/>
      <c r="M631" s="3" t="n"/>
      <c r="N631" s="3" t="n"/>
    </row>
    <row r="632">
      <c r="A632" s="3" t="n"/>
      <c r="B632" s="3" t="n"/>
      <c r="C632" s="3" t="n"/>
      <c r="D632" s="3" t="n"/>
      <c r="E632" s="3" t="n"/>
      <c r="F632" s="3" t="n"/>
      <c r="G632" s="3" t="n"/>
      <c r="H632" s="3" t="n"/>
      <c r="I632" s="3" t="n"/>
      <c r="J632" s="3" t="n"/>
      <c r="K632" s="3" t="n"/>
      <c r="L632" s="3" t="n"/>
      <c r="M632" s="3" t="n"/>
      <c r="N632" s="3" t="n"/>
    </row>
    <row r="633">
      <c r="A633" s="3" t="n"/>
      <c r="B633" s="3" t="n"/>
      <c r="C633" s="3" t="n"/>
      <c r="D633" s="3" t="n"/>
      <c r="E633" s="3" t="n"/>
      <c r="F633" s="3" t="n"/>
      <c r="G633" s="3" t="n"/>
      <c r="H633" s="3" t="n"/>
      <c r="I633" s="3" t="n"/>
      <c r="J633" s="3" t="n"/>
      <c r="K633" s="3" t="n"/>
      <c r="L633" s="3" t="n"/>
      <c r="M633" s="3" t="n"/>
      <c r="N633" s="3" t="n"/>
    </row>
    <row r="634">
      <c r="A634" s="3" t="n"/>
      <c r="B634" s="3" t="n"/>
      <c r="C634" s="3" t="n"/>
      <c r="D634" s="3" t="n"/>
      <c r="E634" s="3" t="n"/>
      <c r="F634" s="3" t="n"/>
      <c r="G634" s="3" t="n"/>
      <c r="H634" s="3" t="n"/>
      <c r="I634" s="3" t="n"/>
      <c r="J634" s="3" t="n"/>
      <c r="K634" s="3" t="n"/>
      <c r="L634" s="3" t="n"/>
      <c r="M634" s="3" t="n"/>
      <c r="N634" s="3" t="n"/>
    </row>
    <row r="635">
      <c r="A635" s="3" t="n"/>
      <c r="B635" s="3" t="n"/>
      <c r="C635" s="3" t="n"/>
      <c r="D635" s="3" t="n"/>
      <c r="E635" s="3" t="n"/>
      <c r="F635" s="3" t="n"/>
      <c r="G635" s="3" t="n"/>
      <c r="H635" s="3" t="n"/>
      <c r="I635" s="3" t="n"/>
      <c r="J635" s="3" t="n"/>
      <c r="K635" s="3" t="n"/>
      <c r="L635" s="3" t="n"/>
      <c r="M635" s="3" t="n"/>
      <c r="N635" s="3" t="n"/>
    </row>
    <row r="636">
      <c r="A636" s="3" t="n"/>
      <c r="B636" s="3" t="n"/>
      <c r="C636" s="3" t="n"/>
      <c r="D636" s="3" t="n"/>
      <c r="E636" s="3" t="n"/>
      <c r="F636" s="3" t="n"/>
      <c r="G636" s="3" t="n"/>
      <c r="H636" s="3" t="n"/>
      <c r="I636" s="3" t="n"/>
      <c r="J636" s="3" t="n"/>
      <c r="K636" s="3" t="n"/>
      <c r="L636" s="3" t="n"/>
      <c r="M636" s="3" t="n"/>
      <c r="N636" s="3" t="n"/>
    </row>
    <row r="637">
      <c r="A637" s="3" t="n"/>
      <c r="B637" s="3" t="n"/>
      <c r="C637" s="3" t="n"/>
      <c r="D637" s="3" t="n"/>
      <c r="E637" s="3" t="n"/>
      <c r="F637" s="3" t="n"/>
      <c r="G637" s="3" t="n"/>
      <c r="H637" s="3" t="n"/>
      <c r="I637" s="3" t="n"/>
      <c r="J637" s="3" t="n"/>
      <c r="K637" s="3" t="n"/>
      <c r="L637" s="3" t="n"/>
      <c r="M637" s="3" t="n"/>
      <c r="N637" s="3" t="n"/>
    </row>
    <row r="638">
      <c r="A638" s="3" t="n"/>
      <c r="B638" s="3" t="n"/>
      <c r="C638" s="3" t="n"/>
      <c r="D638" s="3" t="n"/>
      <c r="E638" s="3" t="n"/>
      <c r="F638" s="3" t="n"/>
      <c r="G638" s="3" t="n"/>
      <c r="H638" s="3" t="n"/>
      <c r="I638" s="3" t="n"/>
      <c r="J638" s="3" t="n"/>
      <c r="K638" s="3" t="n"/>
      <c r="L638" s="3" t="n"/>
      <c r="M638" s="3" t="n"/>
      <c r="N638" s="3" t="n"/>
    </row>
    <row r="639">
      <c r="A639" s="3" t="n"/>
      <c r="B639" s="3" t="n"/>
      <c r="C639" s="3" t="n"/>
      <c r="D639" s="3" t="n"/>
      <c r="E639" s="3" t="n"/>
      <c r="F639" s="3" t="n"/>
      <c r="G639" s="3" t="n"/>
      <c r="H639" s="3" t="n"/>
      <c r="I639" s="3" t="n"/>
      <c r="J639" s="3" t="n"/>
      <c r="K639" s="3" t="n"/>
      <c r="L639" s="3" t="n"/>
      <c r="M639" s="3" t="n"/>
      <c r="N639" s="3" t="n"/>
    </row>
    <row r="640">
      <c r="A640" s="3" t="n"/>
      <c r="B640" s="3" t="n"/>
      <c r="C640" s="3" t="n"/>
      <c r="D640" s="3" t="n"/>
      <c r="E640" s="3" t="n"/>
      <c r="F640" s="3" t="n"/>
      <c r="G640" s="3" t="n"/>
      <c r="H640" s="3" t="n"/>
      <c r="I640" s="3" t="n"/>
      <c r="J640" s="3" t="n"/>
      <c r="K640" s="3" t="n"/>
      <c r="L640" s="3" t="n"/>
      <c r="M640" s="3" t="n"/>
      <c r="N640" s="3" t="n"/>
    </row>
    <row r="641">
      <c r="A641" s="3" t="n"/>
      <c r="B641" s="3" t="n"/>
      <c r="C641" s="3" t="n"/>
      <c r="D641" s="3" t="n"/>
      <c r="E641" s="3" t="n"/>
      <c r="F641" s="3" t="n"/>
      <c r="G641" s="3" t="n"/>
      <c r="H641" s="3" t="n"/>
      <c r="I641" s="3" t="n"/>
      <c r="J641" s="3" t="n"/>
      <c r="K641" s="3" t="n"/>
      <c r="L641" s="3" t="n"/>
      <c r="M641" s="3" t="n"/>
      <c r="N641" s="3" t="n"/>
    </row>
    <row r="642">
      <c r="A642" s="3" t="n"/>
      <c r="B642" s="3" t="n"/>
      <c r="C642" s="3" t="n"/>
      <c r="D642" s="3" t="n"/>
      <c r="E642" s="3" t="n"/>
      <c r="F642" s="3" t="n"/>
      <c r="G642" s="3" t="n"/>
      <c r="H642" s="3" t="n"/>
      <c r="I642" s="3" t="n"/>
      <c r="J642" s="3" t="n"/>
      <c r="K642" s="3" t="n"/>
      <c r="L642" s="3" t="n"/>
      <c r="M642" s="3" t="n"/>
      <c r="N642" s="3" t="n"/>
    </row>
    <row r="643">
      <c r="A643" s="3" t="n"/>
      <c r="B643" s="3" t="n"/>
      <c r="C643" s="3" t="n"/>
      <c r="D643" s="3" t="n"/>
      <c r="E643" s="3" t="n"/>
      <c r="F643" s="3" t="n"/>
      <c r="G643" s="3" t="n"/>
      <c r="H643" s="3" t="n"/>
      <c r="I643" s="3" t="n"/>
      <c r="J643" s="3" t="n"/>
      <c r="K643" s="3" t="n"/>
      <c r="L643" s="3" t="n"/>
      <c r="M643" s="3" t="n"/>
      <c r="N643" s="3" t="n"/>
    </row>
    <row r="644">
      <c r="A644" s="3" t="n"/>
      <c r="B644" s="3" t="n"/>
      <c r="C644" s="3" t="n"/>
      <c r="D644" s="3" t="n"/>
      <c r="E644" s="3" t="n"/>
      <c r="F644" s="3" t="n"/>
      <c r="G644" s="3" t="n"/>
      <c r="H644" s="3" t="n"/>
      <c r="I644" s="3" t="n"/>
      <c r="J644" s="3" t="n"/>
      <c r="K644" s="3" t="n"/>
      <c r="L644" s="3" t="n"/>
      <c r="M644" s="3" t="n"/>
      <c r="N644" s="3" t="n"/>
    </row>
    <row r="645">
      <c r="A645" s="3" t="n"/>
      <c r="B645" s="3" t="n"/>
      <c r="C645" s="3" t="n"/>
      <c r="D645" s="3" t="n"/>
      <c r="E645" s="3" t="n"/>
      <c r="F645" s="3" t="n"/>
      <c r="G645" s="3" t="n"/>
      <c r="H645" s="3" t="n"/>
      <c r="I645" s="3" t="n"/>
      <c r="J645" s="3" t="n"/>
      <c r="K645" s="3" t="n"/>
      <c r="L645" s="3" t="n"/>
      <c r="M645" s="3" t="n"/>
      <c r="N645" s="3" t="n"/>
    </row>
    <row r="646">
      <c r="A646" s="3" t="n"/>
      <c r="B646" s="3" t="n"/>
      <c r="C646" s="3" t="n"/>
      <c r="D646" s="3" t="n"/>
      <c r="E646" s="3" t="n"/>
      <c r="F646" s="3" t="n"/>
      <c r="G646" s="3" t="n"/>
      <c r="H646" s="3" t="n"/>
      <c r="I646" s="3" t="n"/>
      <c r="J646" s="3" t="n"/>
      <c r="K646" s="3" t="n"/>
      <c r="L646" s="3" t="n"/>
      <c r="M646" s="3" t="n"/>
      <c r="N646" s="3" t="n"/>
    </row>
    <row r="647">
      <c r="A647" s="3" t="n"/>
      <c r="B647" s="3" t="n"/>
      <c r="C647" s="3" t="n"/>
      <c r="D647" s="3" t="n"/>
      <c r="E647" s="3" t="n"/>
      <c r="F647" s="3" t="n"/>
      <c r="G647" s="3" t="n"/>
      <c r="H647" s="3" t="n"/>
      <c r="I647" s="3" t="n"/>
      <c r="J647" s="3" t="n"/>
      <c r="K647" s="3" t="n"/>
      <c r="L647" s="3" t="n"/>
      <c r="M647" s="3" t="n"/>
      <c r="N647" s="3" t="n"/>
    </row>
    <row r="648">
      <c r="A648" s="3" t="n"/>
      <c r="B648" s="3" t="n"/>
      <c r="C648" s="3" t="n"/>
      <c r="D648" s="3" t="n"/>
      <c r="E648" s="3" t="n"/>
      <c r="F648" s="3" t="n"/>
      <c r="G648" s="3" t="n"/>
      <c r="H648" s="3" t="n"/>
      <c r="I648" s="3" t="n"/>
      <c r="J648" s="3" t="n"/>
      <c r="K648" s="3" t="n"/>
      <c r="L648" s="3" t="n"/>
      <c r="M648" s="3" t="n"/>
      <c r="N648" s="3" t="n"/>
    </row>
    <row r="649">
      <c r="A649" s="3" t="n"/>
      <c r="B649" s="3" t="n"/>
      <c r="C649" s="3" t="n"/>
      <c r="D649" s="3" t="n"/>
      <c r="E649" s="3" t="n"/>
      <c r="F649" s="3" t="n"/>
      <c r="G649" s="3" t="n"/>
      <c r="H649" s="3" t="n"/>
      <c r="I649" s="3" t="n"/>
      <c r="J649" s="3" t="n"/>
      <c r="K649" s="3" t="n"/>
      <c r="L649" s="3" t="n"/>
      <c r="M649" s="3" t="n"/>
      <c r="N649" s="3" t="n"/>
    </row>
    <row r="650">
      <c r="A650" s="3" t="n"/>
      <c r="B650" s="3" t="n"/>
      <c r="C650" s="3" t="n"/>
      <c r="D650" s="3" t="n"/>
      <c r="E650" s="3" t="n"/>
      <c r="F650" s="3" t="n"/>
      <c r="G650" s="3" t="n"/>
      <c r="H650" s="3" t="n"/>
      <c r="I650" s="3" t="n"/>
      <c r="J650" s="3" t="n"/>
      <c r="K650" s="3" t="n"/>
      <c r="L650" s="3" t="n"/>
      <c r="M650" s="3" t="n"/>
      <c r="N650" s="3" t="n"/>
    </row>
    <row r="651">
      <c r="A651" s="3" t="n"/>
      <c r="B651" s="3" t="n"/>
      <c r="C651" s="3" t="n"/>
      <c r="D651" s="3" t="n"/>
      <c r="E651" s="3" t="n"/>
      <c r="F651" s="3" t="n"/>
      <c r="G651" s="3" t="n"/>
      <c r="H651" s="3" t="n"/>
      <c r="I651" s="3" t="n"/>
      <c r="J651" s="3" t="n"/>
      <c r="K651" s="3" t="n"/>
      <c r="L651" s="3" t="n"/>
      <c r="M651" s="3" t="n"/>
      <c r="N651" s="3" t="n"/>
    </row>
    <row r="652">
      <c r="A652" s="3" t="n"/>
      <c r="B652" s="3" t="n"/>
      <c r="C652" s="3" t="n"/>
      <c r="D652" s="3" t="n"/>
      <c r="E652" s="3" t="n"/>
      <c r="F652" s="3" t="n"/>
      <c r="G652" s="3" t="n"/>
      <c r="H652" s="3" t="n"/>
      <c r="I652" s="3" t="n"/>
      <c r="J652" s="3" t="n"/>
      <c r="K652" s="3" t="n"/>
      <c r="L652" s="3" t="n"/>
      <c r="M652" s="3" t="n"/>
      <c r="N652" s="3" t="n"/>
    </row>
    <row r="653">
      <c r="A653" s="3" t="n"/>
      <c r="B653" s="3" t="n"/>
      <c r="C653" s="3" t="n"/>
      <c r="D653" s="3" t="n"/>
      <c r="E653" s="3" t="n"/>
      <c r="F653" s="3" t="n"/>
      <c r="G653" s="3" t="n"/>
      <c r="H653" s="3" t="n"/>
      <c r="I653" s="3" t="n"/>
      <c r="J653" s="3" t="n"/>
      <c r="K653" s="3" t="n"/>
      <c r="L653" s="3" t="n"/>
      <c r="M653" s="3" t="n"/>
      <c r="N653" s="3" t="n"/>
    </row>
    <row r="654">
      <c r="A654" s="3" t="n"/>
      <c r="B654" s="3" t="n"/>
      <c r="C654" s="3" t="n"/>
      <c r="D654" s="3" t="n"/>
      <c r="E654" s="3" t="n"/>
      <c r="F654" s="3" t="n"/>
      <c r="G654" s="3" t="n"/>
      <c r="H654" s="3" t="n"/>
      <c r="I654" s="3" t="n"/>
      <c r="J654" s="3" t="n"/>
      <c r="K654" s="3" t="n"/>
      <c r="L654" s="3" t="n"/>
      <c r="M654" s="3" t="n"/>
      <c r="N654" s="3" t="n"/>
    </row>
    <row r="655">
      <c r="A655" s="3" t="n"/>
      <c r="B655" s="3" t="n"/>
      <c r="C655" s="3" t="n"/>
      <c r="D655" s="3" t="n"/>
      <c r="E655" s="3" t="n"/>
      <c r="F655" s="3" t="n"/>
      <c r="G655" s="3" t="n"/>
      <c r="H655" s="3" t="n"/>
      <c r="I655" s="3" t="n"/>
      <c r="J655" s="3" t="n"/>
      <c r="K655" s="3" t="n"/>
      <c r="L655" s="3" t="n"/>
      <c r="M655" s="3" t="n"/>
      <c r="N655" s="3" t="n"/>
    </row>
    <row r="656">
      <c r="A656" s="3" t="n"/>
      <c r="B656" s="3" t="n"/>
      <c r="C656" s="3" t="n"/>
      <c r="D656" s="3" t="n"/>
      <c r="E656" s="3" t="n"/>
      <c r="F656" s="3" t="n"/>
      <c r="G656" s="3" t="n"/>
      <c r="H656" s="3" t="n"/>
      <c r="I656" s="3" t="n"/>
      <c r="J656" s="3" t="n"/>
      <c r="K656" s="3" t="n"/>
      <c r="L656" s="3" t="n"/>
      <c r="M656" s="3" t="n"/>
      <c r="N656" s="3" t="n"/>
    </row>
    <row r="657">
      <c r="A657" s="3" t="n"/>
      <c r="B657" s="3" t="n"/>
      <c r="C657" s="3" t="n"/>
      <c r="D657" s="3" t="n"/>
      <c r="E657" s="3" t="n"/>
      <c r="F657" s="3" t="n"/>
      <c r="G657" s="3" t="n"/>
      <c r="H657" s="3" t="n"/>
      <c r="I657" s="3" t="n"/>
      <c r="J657" s="3" t="n"/>
      <c r="K657" s="3" t="n"/>
      <c r="L657" s="3" t="n"/>
      <c r="M657" s="3" t="n"/>
      <c r="N657" s="3" t="n"/>
    </row>
    <row r="658">
      <c r="A658" s="3" t="n"/>
      <c r="B658" s="3" t="n"/>
      <c r="C658" s="3" t="n"/>
      <c r="D658" s="3" t="n"/>
      <c r="E658" s="3" t="n"/>
      <c r="F658" s="3" t="n"/>
      <c r="G658" s="3" t="n"/>
      <c r="H658" s="3" t="n"/>
      <c r="I658" s="3" t="n"/>
      <c r="J658" s="3" t="n"/>
      <c r="K658" s="3" t="n"/>
      <c r="L658" s="3" t="n"/>
      <c r="M658" s="3" t="n"/>
      <c r="N658" s="3" t="n"/>
    </row>
    <row r="659">
      <c r="A659" s="3" t="n"/>
      <c r="B659" s="3" t="n"/>
      <c r="C659" s="3" t="n"/>
      <c r="D659" s="3" t="n"/>
      <c r="E659" s="3" t="n"/>
      <c r="F659" s="3" t="n"/>
      <c r="G659" s="3" t="n"/>
      <c r="H659" s="3" t="n"/>
      <c r="I659" s="3" t="n"/>
      <c r="J659" s="3" t="n"/>
      <c r="K659" s="3" t="n"/>
      <c r="L659" s="3" t="n"/>
      <c r="M659" s="3" t="n"/>
      <c r="N659" s="3" t="n"/>
    </row>
    <row r="660">
      <c r="A660" s="3" t="n"/>
      <c r="B660" s="3" t="n"/>
      <c r="C660" s="3" t="n"/>
      <c r="D660" s="3" t="n"/>
      <c r="E660" s="3" t="n"/>
      <c r="F660" s="3" t="n"/>
      <c r="G660" s="3" t="n"/>
      <c r="H660" s="3" t="n"/>
      <c r="I660" s="3" t="n"/>
      <c r="J660" s="3" t="n"/>
      <c r="K660" s="3" t="n"/>
      <c r="L660" s="3" t="n"/>
      <c r="M660" s="3" t="n"/>
      <c r="N660" s="3" t="n"/>
    </row>
    <row r="661">
      <c r="A661" s="3" t="n"/>
      <c r="B661" s="3" t="n"/>
      <c r="C661" s="3" t="n"/>
      <c r="D661" s="3" t="n"/>
      <c r="E661" s="3" t="n"/>
      <c r="F661" s="3" t="n"/>
      <c r="G661" s="3" t="n"/>
      <c r="H661" s="3" t="n"/>
      <c r="I661" s="3" t="n"/>
      <c r="J661" s="3" t="n"/>
      <c r="K661" s="3" t="n"/>
      <c r="L661" s="3" t="n"/>
      <c r="M661" s="3" t="n"/>
      <c r="N661" s="3" t="n"/>
    </row>
    <row r="662">
      <c r="A662" s="3" t="n"/>
      <c r="B662" s="3" t="n"/>
      <c r="C662" s="3" t="n"/>
      <c r="D662" s="3" t="n"/>
      <c r="E662" s="3" t="n"/>
      <c r="F662" s="3" t="n"/>
      <c r="G662" s="3" t="n"/>
      <c r="H662" s="3" t="n"/>
      <c r="I662" s="3" t="n"/>
      <c r="J662" s="3" t="n"/>
      <c r="K662" s="3" t="n"/>
      <c r="L662" s="3" t="n"/>
      <c r="M662" s="3" t="n"/>
      <c r="N662" s="3" t="n"/>
    </row>
    <row r="663">
      <c r="A663" s="3" t="n"/>
      <c r="B663" s="3" t="n"/>
      <c r="C663" s="3" t="n"/>
      <c r="D663" s="3" t="n"/>
      <c r="E663" s="3" t="n"/>
      <c r="F663" s="3" t="n"/>
      <c r="G663" s="3" t="n"/>
      <c r="H663" s="3" t="n"/>
      <c r="I663" s="3" t="n"/>
      <c r="J663" s="3" t="n"/>
      <c r="K663" s="3" t="n"/>
      <c r="L663" s="3" t="n"/>
      <c r="M663" s="3" t="n"/>
      <c r="N663" s="3" t="n"/>
    </row>
    <row r="664">
      <c r="A664" s="3" t="n"/>
      <c r="B664" s="3" t="n"/>
      <c r="C664" s="3" t="n"/>
      <c r="D664" s="3" t="n"/>
      <c r="E664" s="3" t="n"/>
      <c r="F664" s="3" t="n"/>
      <c r="G664" s="3" t="n"/>
      <c r="H664" s="3" t="n"/>
      <c r="I664" s="3" t="n"/>
      <c r="J664" s="3" t="n"/>
      <c r="K664" s="3" t="n"/>
      <c r="L664" s="3" t="n"/>
      <c r="M664" s="3" t="n"/>
      <c r="N664" s="3" t="n"/>
    </row>
    <row r="665">
      <c r="A665" s="3" t="n"/>
      <c r="B665" s="3" t="n"/>
      <c r="C665" s="3" t="n"/>
      <c r="D665" s="3" t="n"/>
      <c r="E665" s="3" t="n"/>
      <c r="F665" s="3" t="n"/>
      <c r="G665" s="3" t="n"/>
      <c r="H665" s="3" t="n"/>
      <c r="I665" s="3" t="n"/>
      <c r="J665" s="3" t="n"/>
      <c r="K665" s="3" t="n"/>
      <c r="L665" s="3" t="n"/>
      <c r="M665" s="3" t="n"/>
      <c r="N665" s="3" t="n"/>
    </row>
    <row r="666">
      <c r="A666" s="3" t="n"/>
      <c r="B666" s="3" t="n"/>
      <c r="C666" s="3" t="n"/>
      <c r="D666" s="3" t="n"/>
      <c r="E666" s="3" t="n"/>
      <c r="F666" s="3" t="n"/>
      <c r="G666" s="3" t="n"/>
      <c r="H666" s="3" t="n"/>
      <c r="I666" s="3" t="n"/>
      <c r="J666" s="3" t="n"/>
      <c r="K666" s="3" t="n"/>
      <c r="L666" s="3" t="n"/>
      <c r="M666" s="3" t="n"/>
      <c r="N666" s="3" t="n"/>
    </row>
    <row r="667">
      <c r="A667" s="3" t="n"/>
      <c r="B667" s="3" t="n"/>
      <c r="C667" s="3" t="n"/>
      <c r="D667" s="3" t="n"/>
      <c r="E667" s="3" t="n"/>
      <c r="F667" s="3" t="n"/>
      <c r="G667" s="3" t="n"/>
      <c r="H667" s="3" t="n"/>
      <c r="I667" s="3" t="n"/>
      <c r="J667" s="3" t="n"/>
      <c r="K667" s="3" t="n"/>
      <c r="L667" s="3" t="n"/>
      <c r="M667" s="3" t="n"/>
      <c r="N667" s="3" t="n"/>
    </row>
    <row r="668">
      <c r="A668" s="3" t="n"/>
      <c r="B668" s="3" t="n"/>
      <c r="C668" s="3" t="n"/>
      <c r="D668" s="3" t="n"/>
      <c r="E668" s="3" t="n"/>
      <c r="F668" s="3" t="n"/>
      <c r="G668" s="3" t="n"/>
      <c r="H668" s="3" t="n"/>
      <c r="I668" s="3" t="n"/>
      <c r="J668" s="3" t="n"/>
      <c r="K668" s="3" t="n"/>
      <c r="L668" s="3" t="n"/>
      <c r="M668" s="3" t="n"/>
      <c r="N668" s="3" t="n"/>
    </row>
    <row r="669">
      <c r="A669" s="3" t="n"/>
      <c r="B669" s="3" t="n"/>
      <c r="C669" s="3" t="n"/>
      <c r="D669" s="3" t="n"/>
      <c r="E669" s="3" t="n"/>
      <c r="F669" s="3" t="n"/>
      <c r="G669" s="3" t="n"/>
      <c r="H669" s="3" t="n"/>
      <c r="I669" s="3" t="n"/>
      <c r="J669" s="3" t="n"/>
      <c r="K669" s="3" t="n"/>
      <c r="L669" s="3" t="n"/>
      <c r="M669" s="3" t="n"/>
      <c r="N669" s="3" t="n"/>
    </row>
    <row r="670">
      <c r="A670" s="3" t="n"/>
      <c r="B670" s="3" t="n"/>
      <c r="C670" s="3" t="n"/>
      <c r="D670" s="3" t="n"/>
      <c r="E670" s="3" t="n"/>
      <c r="F670" s="3" t="n"/>
      <c r="G670" s="3" t="n"/>
      <c r="H670" s="3" t="n"/>
      <c r="I670" s="3" t="n"/>
      <c r="J670" s="3" t="n"/>
      <c r="K670" s="3" t="n"/>
      <c r="L670" s="3" t="n"/>
      <c r="M670" s="3" t="n"/>
      <c r="N670" s="3" t="n"/>
    </row>
    <row r="671">
      <c r="A671" s="3" t="n"/>
      <c r="B671" s="3" t="n"/>
      <c r="C671" s="3" t="n"/>
      <c r="D671" s="3" t="n"/>
      <c r="E671" s="3" t="n"/>
      <c r="F671" s="3" t="n"/>
      <c r="G671" s="3" t="n"/>
      <c r="H671" s="3" t="n"/>
      <c r="I671" s="3" t="n"/>
      <c r="J671" s="3" t="n"/>
      <c r="K671" s="3" t="n"/>
      <c r="L671" s="3" t="n"/>
      <c r="M671" s="3" t="n"/>
      <c r="N671" s="3" t="n"/>
    </row>
    <row r="672">
      <c r="A672" s="3" t="n"/>
      <c r="B672" s="3" t="n"/>
      <c r="C672" s="3" t="n"/>
      <c r="D672" s="3" t="n"/>
      <c r="E672" s="3" t="n"/>
      <c r="F672" s="3" t="n"/>
      <c r="G672" s="3" t="n"/>
      <c r="H672" s="3" t="n"/>
      <c r="I672" s="3" t="n"/>
      <c r="J672" s="3" t="n"/>
      <c r="K672" s="3" t="n"/>
      <c r="L672" s="3" t="n"/>
      <c r="M672" s="3" t="n"/>
      <c r="N672" s="3" t="n"/>
    </row>
    <row r="673">
      <c r="A673" s="3" t="n"/>
      <c r="B673" s="3" t="n"/>
      <c r="C673" s="3" t="n"/>
      <c r="D673" s="3" t="n"/>
      <c r="E673" s="3" t="n"/>
      <c r="F673" s="3" t="n"/>
      <c r="G673" s="3" t="n"/>
      <c r="H673" s="3" t="n"/>
      <c r="I673" s="3" t="n"/>
      <c r="J673" s="3" t="n"/>
      <c r="K673" s="3" t="n"/>
      <c r="L673" s="3" t="n"/>
      <c r="M673" s="3" t="n"/>
      <c r="N673" s="3" t="n"/>
    </row>
    <row r="674">
      <c r="A674" s="3" t="n"/>
      <c r="B674" s="3" t="n"/>
      <c r="C674" s="3" t="n"/>
      <c r="D674" s="3" t="n"/>
      <c r="E674" s="3" t="n"/>
      <c r="F674" s="3" t="n"/>
      <c r="G674" s="3" t="n"/>
      <c r="H674" s="3" t="n"/>
      <c r="I674" s="3" t="n"/>
      <c r="J674" s="3" t="n"/>
      <c r="K674" s="3" t="n"/>
      <c r="L674" s="3" t="n"/>
      <c r="M674" s="3" t="n"/>
      <c r="N674" s="3" t="n"/>
    </row>
    <row r="675">
      <c r="A675" s="3" t="n"/>
      <c r="B675" s="3" t="n"/>
      <c r="C675" s="3" t="n"/>
      <c r="D675" s="3" t="n"/>
      <c r="E675" s="3" t="n"/>
      <c r="F675" s="3" t="n"/>
      <c r="G675" s="3" t="n"/>
      <c r="H675" s="3" t="n"/>
      <c r="I675" s="3" t="n"/>
      <c r="J675" s="3" t="n"/>
      <c r="K675" s="3" t="n"/>
      <c r="L675" s="3" t="n"/>
      <c r="M675" s="3" t="n"/>
      <c r="N675" s="3" t="n"/>
    </row>
    <row r="676">
      <c r="A676" s="3" t="n"/>
      <c r="B676" s="3" t="n"/>
      <c r="C676" s="3" t="n"/>
      <c r="D676" s="3" t="n"/>
      <c r="E676" s="3" t="n"/>
      <c r="F676" s="3" t="n"/>
      <c r="G676" s="3" t="n"/>
      <c r="H676" s="3" t="n"/>
      <c r="I676" s="3" t="n"/>
      <c r="J676" s="3" t="n"/>
      <c r="K676" s="3" t="n"/>
      <c r="L676" s="3" t="n"/>
      <c r="M676" s="3" t="n"/>
      <c r="N676" s="3" t="n"/>
    </row>
    <row r="677">
      <c r="A677" s="3" t="n"/>
      <c r="B677" s="3" t="n"/>
      <c r="C677" s="3" t="n"/>
      <c r="D677" s="3" t="n"/>
      <c r="E677" s="3" t="n"/>
      <c r="F677" s="3" t="n"/>
      <c r="G677" s="3" t="n"/>
      <c r="H677" s="3" t="n"/>
      <c r="I677" s="3" t="n"/>
      <c r="J677" s="3" t="n"/>
      <c r="K677" s="3" t="n"/>
      <c r="L677" s="3" t="n"/>
      <c r="M677" s="3" t="n"/>
      <c r="N677" s="3" t="n"/>
    </row>
    <row r="678">
      <c r="A678" s="3" t="n"/>
      <c r="B678" s="3" t="n"/>
      <c r="C678" s="3" t="n"/>
      <c r="D678" s="3" t="n"/>
      <c r="E678" s="3" t="n"/>
      <c r="F678" s="3" t="n"/>
      <c r="G678" s="3" t="n"/>
      <c r="H678" s="3" t="n"/>
      <c r="I678" s="3" t="n"/>
      <c r="J678" s="3" t="n"/>
      <c r="K678" s="3" t="n"/>
      <c r="L678" s="3" t="n"/>
      <c r="M678" s="3" t="n"/>
      <c r="N678" s="3" t="n"/>
    </row>
    <row r="679">
      <c r="A679" s="3" t="n"/>
      <c r="B679" s="3" t="n"/>
      <c r="C679" s="3" t="n"/>
      <c r="D679" s="3" t="n"/>
      <c r="E679" s="3" t="n"/>
      <c r="F679" s="3" t="n"/>
      <c r="G679" s="3" t="n"/>
      <c r="H679" s="3" t="n"/>
      <c r="I679" s="3" t="n"/>
      <c r="J679" s="3" t="n"/>
      <c r="K679" s="3" t="n"/>
      <c r="L679" s="3" t="n"/>
      <c r="M679" s="3" t="n"/>
      <c r="N679" s="3" t="n"/>
    </row>
    <row r="680">
      <c r="A680" s="3" t="n"/>
      <c r="B680" s="3" t="n"/>
      <c r="C680" s="3" t="n"/>
      <c r="D680" s="3" t="n"/>
      <c r="E680" s="3" t="n"/>
      <c r="F680" s="3" t="n"/>
      <c r="G680" s="3" t="n"/>
      <c r="H680" s="3" t="n"/>
      <c r="I680" s="3" t="n"/>
      <c r="J680" s="3" t="n"/>
      <c r="K680" s="3" t="n"/>
      <c r="L680" s="3" t="n"/>
      <c r="M680" s="3" t="n"/>
      <c r="N680" s="3" t="n"/>
    </row>
    <row r="681">
      <c r="A681" s="3" t="n"/>
      <c r="B681" s="3" t="n"/>
      <c r="C681" s="3" t="n"/>
      <c r="D681" s="3" t="n"/>
      <c r="E681" s="3" t="n"/>
      <c r="F681" s="3" t="n"/>
      <c r="G681" s="3" t="n"/>
      <c r="H681" s="3" t="n"/>
      <c r="I681" s="3" t="n"/>
      <c r="J681" s="3" t="n"/>
      <c r="K681" s="3" t="n"/>
      <c r="L681" s="3" t="n"/>
      <c r="M681" s="3" t="n"/>
      <c r="N681" s="3" t="n"/>
    </row>
    <row r="682">
      <c r="A682" s="3" t="n"/>
      <c r="B682" s="3" t="n"/>
      <c r="C682" s="3" t="n"/>
      <c r="D682" s="3" t="n"/>
      <c r="E682" s="3" t="n"/>
      <c r="F682" s="3" t="n"/>
      <c r="G682" s="3" t="n"/>
      <c r="H682" s="3" t="n"/>
      <c r="I682" s="3" t="n"/>
      <c r="J682" s="3" t="n"/>
      <c r="K682" s="3" t="n"/>
      <c r="L682" s="3" t="n"/>
      <c r="M682" s="3" t="n"/>
      <c r="N682" s="3" t="n"/>
    </row>
    <row r="683">
      <c r="A683" s="3" t="n"/>
      <c r="B683" s="3" t="n"/>
      <c r="C683" s="3" t="n"/>
      <c r="D683" s="3" t="n"/>
      <c r="E683" s="3" t="n"/>
      <c r="F683" s="3" t="n"/>
      <c r="G683" s="3" t="n"/>
      <c r="H683" s="3" t="n"/>
      <c r="I683" s="3" t="n"/>
      <c r="J683" s="3" t="n"/>
      <c r="K683" s="3" t="n"/>
      <c r="L683" s="3" t="n"/>
      <c r="M683" s="3" t="n"/>
      <c r="N683" s="3" t="n"/>
    </row>
    <row r="684">
      <c r="A684" s="3" t="n"/>
      <c r="B684" s="3" t="n"/>
      <c r="C684" s="3" t="n"/>
      <c r="D684" s="3" t="n"/>
      <c r="E684" s="3" t="n"/>
      <c r="F684" s="3" t="n"/>
      <c r="G684" s="3" t="n"/>
      <c r="H684" s="3" t="n"/>
      <c r="I684" s="3" t="n"/>
      <c r="J684" s="3" t="n"/>
      <c r="K684" s="3" t="n"/>
      <c r="L684" s="3" t="n"/>
      <c r="M684" s="3" t="n"/>
      <c r="N684" s="3" t="n"/>
    </row>
    <row r="685">
      <c r="A685" s="3" t="n"/>
      <c r="B685" s="3" t="n"/>
      <c r="C685" s="3" t="n"/>
      <c r="D685" s="3" t="n"/>
      <c r="E685" s="3" t="n"/>
      <c r="F685" s="3" t="n"/>
      <c r="G685" s="3" t="n"/>
      <c r="H685" s="3" t="n"/>
      <c r="I685" s="3" t="n"/>
      <c r="J685" s="3" t="n"/>
      <c r="K685" s="3" t="n"/>
      <c r="L685" s="3" t="n"/>
      <c r="M685" s="3" t="n"/>
      <c r="N685" s="3" t="n"/>
    </row>
    <row r="686">
      <c r="A686" s="3" t="n"/>
      <c r="B686" s="3" t="n"/>
      <c r="C686" s="3" t="n"/>
      <c r="D686" s="3" t="n"/>
      <c r="E686" s="3" t="n"/>
      <c r="F686" s="3" t="n"/>
      <c r="G686" s="3" t="n"/>
      <c r="H686" s="3" t="n"/>
      <c r="I686" s="3" t="n"/>
      <c r="J686" s="3" t="n"/>
      <c r="K686" s="3" t="n"/>
      <c r="L686" s="3" t="n"/>
      <c r="M686" s="3" t="n"/>
      <c r="N686" s="3" t="n"/>
    </row>
    <row r="687">
      <c r="A687" s="3" t="n"/>
      <c r="B687" s="3" t="n"/>
      <c r="C687" s="3" t="n"/>
      <c r="D687" s="3" t="n"/>
      <c r="E687" s="3" t="n"/>
      <c r="F687" s="3" t="n"/>
      <c r="G687" s="3" t="n"/>
      <c r="H687" s="3" t="n"/>
      <c r="I687" s="3" t="n"/>
      <c r="J687" s="3" t="n"/>
      <c r="K687" s="3" t="n"/>
      <c r="L687" s="3" t="n"/>
      <c r="M687" s="3" t="n"/>
      <c r="N687" s="3" t="n"/>
    </row>
    <row r="688">
      <c r="A688" s="3" t="n"/>
      <c r="B688" s="3" t="n"/>
      <c r="C688" s="3" t="n"/>
      <c r="D688" s="3" t="n"/>
      <c r="E688" s="3" t="n"/>
      <c r="F688" s="3" t="n"/>
      <c r="G688" s="3" t="n"/>
      <c r="H688" s="3" t="n"/>
      <c r="I688" s="3" t="n"/>
      <c r="J688" s="3" t="n"/>
      <c r="K688" s="3" t="n"/>
      <c r="L688" s="3" t="n"/>
      <c r="M688" s="3" t="n"/>
      <c r="N688" s="3" t="n"/>
    </row>
    <row r="689">
      <c r="A689" s="3" t="n"/>
      <c r="B689" s="3" t="n"/>
      <c r="C689" s="3" t="n"/>
      <c r="D689" s="3" t="n"/>
      <c r="E689" s="3" t="n"/>
      <c r="F689" s="3" t="n"/>
      <c r="G689" s="3" t="n"/>
      <c r="H689" s="3" t="n"/>
      <c r="I689" s="3" t="n"/>
      <c r="J689" s="3" t="n"/>
      <c r="K689" s="3" t="n"/>
      <c r="L689" s="3" t="n"/>
      <c r="M689" s="3" t="n"/>
      <c r="N689" s="3" t="n"/>
    </row>
    <row r="690">
      <c r="A690" s="3" t="n"/>
      <c r="B690" s="3" t="n"/>
      <c r="C690" s="3" t="n"/>
      <c r="D690" s="3" t="n"/>
      <c r="E690" s="3" t="n"/>
      <c r="F690" s="3" t="n"/>
      <c r="G690" s="3" t="n"/>
      <c r="H690" s="3" t="n"/>
      <c r="I690" s="3" t="n"/>
      <c r="J690" s="3" t="n"/>
      <c r="K690" s="3" t="n"/>
      <c r="L690" s="3" t="n"/>
      <c r="M690" s="3" t="n"/>
      <c r="N690" s="3" t="n"/>
    </row>
    <row r="691">
      <c r="A691" s="3" t="n"/>
      <c r="B691" s="3" t="n"/>
      <c r="C691" s="3" t="n"/>
      <c r="D691" s="3" t="n"/>
      <c r="E691" s="3" t="n"/>
      <c r="F691" s="3" t="n"/>
      <c r="G691" s="3" t="n"/>
      <c r="H691" s="3" t="n"/>
      <c r="I691" s="3" t="n"/>
      <c r="J691" s="3" t="n"/>
      <c r="K691" s="3" t="n"/>
      <c r="L691" s="3" t="n"/>
      <c r="M691" s="3" t="n"/>
      <c r="N691" s="3" t="n"/>
    </row>
    <row r="692">
      <c r="A692" s="3" t="n"/>
      <c r="B692" s="3" t="n"/>
      <c r="C692" s="3" t="n"/>
      <c r="D692" s="3" t="n"/>
      <c r="E692" s="3" t="n"/>
      <c r="F692" s="3" t="n"/>
      <c r="G692" s="3" t="n"/>
      <c r="H692" s="3" t="n"/>
      <c r="I692" s="3" t="n"/>
      <c r="J692" s="3" t="n"/>
      <c r="K692" s="3" t="n"/>
      <c r="L692" s="3" t="n"/>
      <c r="M692" s="3" t="n"/>
      <c r="N692" s="3" t="n"/>
    </row>
    <row r="693">
      <c r="A693" s="3" t="n"/>
      <c r="B693" s="3" t="n"/>
      <c r="C693" s="3" t="n"/>
      <c r="D693" s="3" t="n"/>
      <c r="E693" s="3" t="n"/>
      <c r="F693" s="3" t="n"/>
      <c r="G693" s="3" t="n"/>
      <c r="H693" s="3" t="n"/>
      <c r="I693" s="3" t="n"/>
      <c r="J693" s="3" t="n"/>
      <c r="K693" s="3" t="n"/>
      <c r="L693" s="3" t="n"/>
      <c r="M693" s="3" t="n"/>
      <c r="N693" s="3" t="n"/>
    </row>
    <row r="694">
      <c r="A694" s="3" t="n"/>
      <c r="B694" s="3" t="n"/>
      <c r="C694" s="3" t="n"/>
      <c r="D694" s="3" t="n"/>
      <c r="E694" s="3" t="n"/>
      <c r="F694" s="3" t="n"/>
      <c r="G694" s="3" t="n"/>
      <c r="H694" s="3" t="n"/>
      <c r="I694" s="3" t="n"/>
      <c r="J694" s="3" t="n"/>
      <c r="K694" s="3" t="n"/>
      <c r="L694" s="3" t="n"/>
      <c r="M694" s="3" t="n"/>
      <c r="N694" s="3" t="n"/>
    </row>
    <row r="695">
      <c r="A695" s="3" t="n"/>
      <c r="B695" s="3" t="n"/>
      <c r="C695" s="3" t="n"/>
      <c r="D695" s="3" t="n"/>
      <c r="E695" s="3" t="n"/>
      <c r="F695" s="3" t="n"/>
      <c r="G695" s="3" t="n"/>
      <c r="H695" s="3" t="n"/>
      <c r="I695" s="3" t="n"/>
      <c r="J695" s="3" t="n"/>
      <c r="K695" s="3" t="n"/>
      <c r="L695" s="3" t="n"/>
      <c r="M695" s="3" t="n"/>
      <c r="N695" s="3" t="n"/>
    </row>
    <row r="696">
      <c r="A696" s="3" t="n"/>
      <c r="B696" s="3" t="n"/>
      <c r="C696" s="3" t="n"/>
      <c r="D696" s="3" t="n"/>
      <c r="E696" s="3" t="n"/>
      <c r="F696" s="3" t="n"/>
      <c r="G696" s="3" t="n"/>
      <c r="H696" s="3" t="n"/>
      <c r="I696" s="3" t="n"/>
      <c r="J696" s="3" t="n"/>
      <c r="K696" s="3" t="n"/>
      <c r="L696" s="3" t="n"/>
      <c r="M696" s="3" t="n"/>
      <c r="N696" s="3" t="n"/>
    </row>
    <row r="697">
      <c r="A697" s="3" t="n"/>
      <c r="B697" s="3" t="n"/>
      <c r="C697" s="3" t="n"/>
      <c r="D697" s="3" t="n"/>
      <c r="E697" s="3" t="n"/>
      <c r="F697" s="3" t="n"/>
      <c r="G697" s="3" t="n"/>
      <c r="H697" s="3" t="n"/>
      <c r="I697" s="3" t="n"/>
      <c r="J697" s="3" t="n"/>
      <c r="K697" s="3" t="n"/>
      <c r="L697" s="3" t="n"/>
      <c r="M697" s="3" t="n"/>
      <c r="N697" s="3" t="n"/>
    </row>
    <row r="698">
      <c r="A698" s="3" t="n"/>
      <c r="B698" s="3" t="n"/>
      <c r="C698" s="3" t="n"/>
      <c r="D698" s="3" t="n"/>
      <c r="E698" s="3" t="n"/>
      <c r="F698" s="3" t="n"/>
      <c r="G698" s="3" t="n"/>
      <c r="H698" s="3" t="n"/>
      <c r="I698" s="3" t="n"/>
      <c r="J698" s="3" t="n"/>
      <c r="K698" s="3" t="n"/>
      <c r="L698" s="3" t="n"/>
      <c r="M698" s="3" t="n"/>
      <c r="N698" s="3" t="n"/>
    </row>
    <row r="699">
      <c r="A699" s="3" t="n"/>
      <c r="B699" s="3" t="n"/>
      <c r="C699" s="3" t="n"/>
      <c r="D699" s="3" t="n"/>
      <c r="E699" s="3" t="n"/>
      <c r="F699" s="3" t="n"/>
      <c r="G699" s="3" t="n"/>
      <c r="H699" s="3" t="n"/>
      <c r="I699" s="3" t="n"/>
      <c r="J699" s="3" t="n"/>
      <c r="K699" s="3" t="n"/>
      <c r="L699" s="3" t="n"/>
      <c r="M699" s="3" t="n"/>
      <c r="N699" s="3" t="n"/>
    </row>
    <row r="700">
      <c r="A700" s="3" t="n"/>
      <c r="B700" s="3" t="n"/>
      <c r="C700" s="3" t="n"/>
      <c r="D700" s="3" t="n"/>
      <c r="E700" s="3" t="n"/>
      <c r="F700" s="3" t="n"/>
      <c r="G700" s="3" t="n"/>
      <c r="H700" s="3" t="n"/>
      <c r="I700" s="3" t="n"/>
      <c r="J700" s="3" t="n"/>
      <c r="K700" s="3" t="n"/>
      <c r="L700" s="3" t="n"/>
      <c r="M700" s="3" t="n"/>
      <c r="N700" s="3" t="n"/>
    </row>
    <row r="701">
      <c r="A701" s="3" t="n"/>
      <c r="B701" s="3" t="n"/>
      <c r="C701" s="3" t="n"/>
      <c r="D701" s="3" t="n"/>
      <c r="E701" s="3" t="n"/>
      <c r="F701" s="3" t="n"/>
      <c r="G701" s="3" t="n"/>
      <c r="H701" s="3" t="n"/>
      <c r="I701" s="3" t="n"/>
      <c r="J701" s="3" t="n"/>
      <c r="K701" s="3" t="n"/>
      <c r="L701" s="3" t="n"/>
      <c r="M701" s="3" t="n"/>
      <c r="N701" s="3" t="n"/>
    </row>
    <row r="702">
      <c r="A702" s="3" t="n"/>
      <c r="B702" s="3" t="n"/>
      <c r="C702" s="3" t="n"/>
      <c r="D702" s="3" t="n"/>
      <c r="E702" s="3" t="n"/>
      <c r="F702" s="3" t="n"/>
      <c r="G702" s="3" t="n"/>
      <c r="H702" s="3" t="n"/>
      <c r="I702" s="3" t="n"/>
      <c r="J702" s="3" t="n"/>
      <c r="K702" s="3" t="n"/>
      <c r="L702" s="3" t="n"/>
      <c r="M702" s="3" t="n"/>
      <c r="N702" s="3" t="n"/>
    </row>
    <row r="703">
      <c r="A703" s="3" t="n"/>
      <c r="B703" s="3" t="n"/>
      <c r="C703" s="3" t="n"/>
      <c r="D703" s="3" t="n"/>
      <c r="E703" s="3" t="n"/>
      <c r="F703" s="3" t="n"/>
      <c r="G703" s="3" t="n"/>
      <c r="H703" s="3" t="n"/>
      <c r="I703" s="3" t="n"/>
      <c r="J703" s="3" t="n"/>
      <c r="K703" s="3" t="n"/>
      <c r="L703" s="3" t="n"/>
      <c r="M703" s="3" t="n"/>
      <c r="N703" s="3" t="n"/>
    </row>
    <row r="704">
      <c r="A704" s="3" t="n"/>
      <c r="B704" s="3" t="n"/>
      <c r="C704" s="3" t="n"/>
      <c r="D704" s="3" t="n"/>
      <c r="E704" s="3" t="n"/>
      <c r="F704" s="3" t="n"/>
      <c r="G704" s="3" t="n"/>
      <c r="H704" s="3" t="n"/>
      <c r="I704" s="3" t="n"/>
      <c r="J704" s="3" t="n"/>
      <c r="K704" s="3" t="n"/>
      <c r="L704" s="3" t="n"/>
      <c r="M704" s="3" t="n"/>
      <c r="N704" s="3" t="n"/>
    </row>
    <row r="705">
      <c r="A705" s="3" t="n"/>
      <c r="B705" s="3" t="n"/>
      <c r="C705" s="3" t="n"/>
      <c r="D705" s="3" t="n"/>
      <c r="E705" s="3" t="n"/>
      <c r="F705" s="3" t="n"/>
      <c r="G705" s="3" t="n"/>
      <c r="H705" s="3" t="n"/>
      <c r="I705" s="3" t="n"/>
      <c r="J705" s="3" t="n"/>
      <c r="K705" s="3" t="n"/>
      <c r="L705" s="3" t="n"/>
      <c r="M705" s="3" t="n"/>
      <c r="N705" s="3" t="n"/>
    </row>
    <row r="706">
      <c r="A706" s="3" t="n"/>
      <c r="B706" s="3" t="n"/>
      <c r="C706" s="3" t="n"/>
      <c r="D706" s="3" t="n"/>
      <c r="E706" s="3" t="n"/>
      <c r="F706" s="3" t="n"/>
      <c r="G706" s="3" t="n"/>
      <c r="H706" s="3" t="n"/>
      <c r="I706" s="3" t="n"/>
      <c r="J706" s="3" t="n"/>
      <c r="K706" s="3" t="n"/>
      <c r="L706" s="3" t="n"/>
      <c r="M706" s="3" t="n"/>
      <c r="N706" s="3" t="n"/>
    </row>
    <row r="707">
      <c r="A707" s="3" t="n"/>
      <c r="B707" s="3" t="n"/>
      <c r="C707" s="3" t="n"/>
      <c r="D707" s="3" t="n"/>
      <c r="E707" s="3" t="n"/>
      <c r="F707" s="3" t="n"/>
      <c r="G707" s="3" t="n"/>
      <c r="H707" s="3" t="n"/>
      <c r="I707" s="3" t="n"/>
      <c r="J707" s="3" t="n"/>
      <c r="K707" s="3" t="n"/>
      <c r="L707" s="3" t="n"/>
      <c r="M707" s="3" t="n"/>
      <c r="N707" s="3" t="n"/>
    </row>
    <row r="708">
      <c r="A708" s="3" t="n"/>
      <c r="B708" s="3" t="n"/>
      <c r="C708" s="3" t="n"/>
      <c r="D708" s="3" t="n"/>
      <c r="E708" s="3" t="n"/>
      <c r="F708" s="3" t="n"/>
      <c r="G708" s="3" t="n"/>
      <c r="H708" s="3" t="n"/>
      <c r="I708" s="3" t="n"/>
      <c r="J708" s="3" t="n"/>
      <c r="K708" s="3" t="n"/>
      <c r="L708" s="3" t="n"/>
      <c r="M708" s="3" t="n"/>
      <c r="N708" s="3" t="n"/>
    </row>
    <row r="709">
      <c r="A709" s="3" t="n"/>
      <c r="B709" s="3" t="n"/>
      <c r="C709" s="3" t="n"/>
      <c r="D709" s="3" t="n"/>
      <c r="E709" s="3" t="n"/>
      <c r="F709" s="3" t="n"/>
      <c r="G709" s="3" t="n"/>
      <c r="H709" s="3" t="n"/>
      <c r="I709" s="3" t="n"/>
      <c r="J709" s="3" t="n"/>
      <c r="K709" s="3" t="n"/>
      <c r="L709" s="3" t="n"/>
      <c r="M709" s="3" t="n"/>
      <c r="N709" s="3" t="n"/>
    </row>
    <row r="710">
      <c r="A710" s="3" t="n"/>
      <c r="B710" s="3" t="n"/>
      <c r="C710" s="3" t="n"/>
      <c r="D710" s="3" t="n"/>
      <c r="E710" s="3" t="n"/>
      <c r="F710" s="3" t="n"/>
      <c r="G710" s="3" t="n"/>
      <c r="H710" s="3" t="n"/>
      <c r="I710" s="3" t="n"/>
      <c r="J710" s="3" t="n"/>
      <c r="K710" s="3" t="n"/>
      <c r="L710" s="3" t="n"/>
      <c r="M710" s="3" t="n"/>
      <c r="N710" s="3" t="n"/>
    </row>
    <row r="711">
      <c r="A711" s="3" t="n"/>
      <c r="B711" s="3" t="n"/>
      <c r="C711" s="3" t="n"/>
      <c r="D711" s="3" t="n"/>
      <c r="E711" s="3" t="n"/>
      <c r="F711" s="3" t="n"/>
      <c r="G711" s="3" t="n"/>
      <c r="H711" s="3" t="n"/>
      <c r="I711" s="3" t="n"/>
      <c r="J711" s="3" t="n"/>
      <c r="K711" s="3" t="n"/>
      <c r="L711" s="3" t="n"/>
      <c r="M711" s="3" t="n"/>
      <c r="N711" s="3" t="n"/>
    </row>
    <row r="712">
      <c r="A712" s="3" t="n"/>
      <c r="B712" s="3" t="n"/>
      <c r="C712" s="3" t="n"/>
      <c r="D712" s="3" t="n"/>
      <c r="E712" s="3" t="n"/>
      <c r="F712" s="3" t="n"/>
      <c r="G712" s="3" t="n"/>
      <c r="H712" s="3" t="n"/>
      <c r="I712" s="3" t="n"/>
      <c r="J712" s="3" t="n"/>
      <c r="K712" s="3" t="n"/>
      <c r="L712" s="3" t="n"/>
      <c r="M712" s="3" t="n"/>
      <c r="N712" s="3" t="n"/>
    </row>
    <row r="713">
      <c r="A713" s="3" t="n"/>
      <c r="B713" s="3" t="n"/>
      <c r="C713" s="3" t="n"/>
      <c r="D713" s="3" t="n"/>
      <c r="E713" s="3" t="n"/>
      <c r="F713" s="3" t="n"/>
      <c r="G713" s="3" t="n"/>
      <c r="H713" s="3" t="n"/>
      <c r="I713" s="3" t="n"/>
      <c r="J713" s="3" t="n"/>
      <c r="K713" s="3" t="n"/>
      <c r="L713" s="3" t="n"/>
      <c r="M713" s="3" t="n"/>
      <c r="N713" s="3" t="n"/>
    </row>
    <row r="714">
      <c r="A714" s="3" t="n"/>
      <c r="B714" s="3" t="n"/>
      <c r="C714" s="3" t="n"/>
      <c r="D714" s="3" t="n"/>
      <c r="E714" s="3" t="n"/>
      <c r="F714" s="3" t="n"/>
      <c r="G714" s="3" t="n"/>
      <c r="H714" s="3" t="n"/>
      <c r="I714" s="3" t="n"/>
      <c r="J714" s="3" t="n"/>
      <c r="K714" s="3" t="n"/>
      <c r="L714" s="3" t="n"/>
      <c r="M714" s="3" t="n"/>
      <c r="N714" s="3" t="n"/>
    </row>
    <row r="715">
      <c r="A715" s="3" t="n"/>
      <c r="B715" s="3" t="n"/>
      <c r="C715" s="3" t="n"/>
      <c r="D715" s="3" t="n"/>
      <c r="E715" s="3" t="n"/>
      <c r="F715" s="3" t="n"/>
      <c r="G715" s="3" t="n"/>
      <c r="H715" s="3" t="n"/>
      <c r="I715" s="3" t="n"/>
      <c r="J715" s="3" t="n"/>
      <c r="K715" s="3" t="n"/>
      <c r="L715" s="3" t="n"/>
      <c r="M715" s="3" t="n"/>
      <c r="N715" s="3" t="n"/>
    </row>
    <row r="716">
      <c r="A716" s="3" t="n"/>
      <c r="B716" s="3" t="n"/>
      <c r="C716" s="3" t="n"/>
      <c r="D716" s="3" t="n"/>
      <c r="E716" s="3" t="n"/>
      <c r="F716" s="3" t="n"/>
      <c r="G716" s="3" t="n"/>
      <c r="H716" s="3" t="n"/>
      <c r="I716" s="3" t="n"/>
      <c r="J716" s="3" t="n"/>
      <c r="K716" s="3" t="n"/>
      <c r="L716" s="3" t="n"/>
      <c r="M716" s="3" t="n"/>
      <c r="N716" s="3" t="n"/>
    </row>
    <row r="717">
      <c r="A717" s="3" t="n"/>
      <c r="B717" s="3" t="n"/>
      <c r="C717" s="3" t="n"/>
      <c r="D717" s="3" t="n"/>
      <c r="E717" s="3" t="n"/>
      <c r="F717" s="3" t="n"/>
      <c r="G717" s="3" t="n"/>
      <c r="H717" s="3" t="n"/>
      <c r="I717" s="3" t="n"/>
      <c r="J717" s="3" t="n"/>
      <c r="K717" s="3" t="n"/>
      <c r="L717" s="3" t="n"/>
      <c r="M717" s="3" t="n"/>
      <c r="N717" s="3" t="n"/>
    </row>
    <row r="718">
      <c r="A718" s="3" t="n"/>
      <c r="B718" s="3" t="n"/>
      <c r="C718" s="3" t="n"/>
      <c r="D718" s="3" t="n"/>
      <c r="E718" s="3" t="n"/>
      <c r="F718" s="3" t="n"/>
      <c r="G718" s="3" t="n"/>
      <c r="H718" s="3" t="n"/>
      <c r="I718" s="3" t="n"/>
      <c r="J718" s="3" t="n"/>
      <c r="K718" s="3" t="n"/>
      <c r="L718" s="3" t="n"/>
      <c r="M718" s="3" t="n"/>
      <c r="N718" s="3" t="n"/>
    </row>
    <row r="719">
      <c r="A719" s="3" t="n"/>
      <c r="B719" s="3" t="n"/>
      <c r="C719" s="3" t="n"/>
      <c r="D719" s="3" t="n"/>
      <c r="E719" s="3" t="n"/>
      <c r="F719" s="3" t="n"/>
      <c r="G719" s="3" t="n"/>
      <c r="H719" s="3" t="n"/>
      <c r="I719" s="3" t="n"/>
      <c r="J719" s="3" t="n"/>
      <c r="K719" s="3" t="n"/>
      <c r="L719" s="3" t="n"/>
      <c r="M719" s="3" t="n"/>
      <c r="N719" s="3" t="n"/>
    </row>
    <row r="720">
      <c r="A720" s="3" t="n"/>
      <c r="B720" s="3" t="n"/>
      <c r="C720" s="3" t="n"/>
      <c r="D720" s="3" t="n"/>
      <c r="E720" s="3" t="n"/>
      <c r="F720" s="3" t="n"/>
      <c r="G720" s="3" t="n"/>
      <c r="H720" s="3" t="n"/>
      <c r="I720" s="3" t="n"/>
      <c r="J720" s="3" t="n"/>
      <c r="K720" s="3" t="n"/>
      <c r="L720" s="3" t="n"/>
      <c r="M720" s="3" t="n"/>
      <c r="N720" s="3" t="n"/>
    </row>
    <row r="721">
      <c r="A721" s="3" t="n"/>
      <c r="B721" s="3" t="n"/>
      <c r="C721" s="3" t="n"/>
      <c r="D721" s="3" t="n"/>
      <c r="E721" s="3" t="n"/>
      <c r="F721" s="3" t="n"/>
      <c r="G721" s="3" t="n"/>
      <c r="H721" s="3" t="n"/>
      <c r="I721" s="3" t="n"/>
      <c r="J721" s="3" t="n"/>
      <c r="K721" s="3" t="n"/>
      <c r="L721" s="3" t="n"/>
      <c r="M721" s="3" t="n"/>
      <c r="N721" s="3" t="n"/>
    </row>
    <row r="722">
      <c r="A722" s="3" t="n"/>
      <c r="B722" s="3" t="n"/>
      <c r="C722" s="3" t="n"/>
      <c r="D722" s="3" t="n"/>
      <c r="E722" s="3" t="n"/>
      <c r="F722" s="3" t="n"/>
      <c r="G722" s="3" t="n"/>
      <c r="H722" s="3" t="n"/>
      <c r="I722" s="3" t="n"/>
      <c r="J722" s="3" t="n"/>
      <c r="K722" s="3" t="n"/>
      <c r="L722" s="3" t="n"/>
      <c r="M722" s="3" t="n"/>
      <c r="N722" s="3" t="n"/>
    </row>
    <row r="723">
      <c r="A723" s="3" t="n"/>
      <c r="B723" s="3" t="n"/>
      <c r="C723" s="3" t="n"/>
      <c r="D723" s="3" t="n"/>
      <c r="E723" s="3" t="n"/>
      <c r="F723" s="3" t="n"/>
      <c r="G723" s="3" t="n"/>
      <c r="H723" s="3" t="n"/>
      <c r="I723" s="3" t="n"/>
      <c r="J723" s="3" t="n"/>
      <c r="K723" s="3" t="n"/>
      <c r="L723" s="3" t="n"/>
      <c r="M723" s="3" t="n"/>
      <c r="N723" s="3" t="n"/>
    </row>
    <row r="724">
      <c r="A724" s="3" t="n"/>
      <c r="B724" s="3" t="n"/>
      <c r="C724" s="3" t="n"/>
      <c r="D724" s="3" t="n"/>
      <c r="E724" s="3" t="n"/>
      <c r="F724" s="3" t="n"/>
      <c r="G724" s="3" t="n"/>
      <c r="H724" s="3" t="n"/>
      <c r="I724" s="3" t="n"/>
      <c r="J724" s="3" t="n"/>
      <c r="K724" s="3" t="n"/>
      <c r="L724" s="3" t="n"/>
      <c r="M724" s="3" t="n"/>
      <c r="N724" s="3" t="n"/>
    </row>
    <row r="725">
      <c r="A725" s="3" t="n"/>
      <c r="B725" s="3" t="n"/>
      <c r="C725" s="3" t="n"/>
      <c r="D725" s="3" t="n"/>
      <c r="E725" s="3" t="n"/>
      <c r="F725" s="3" t="n"/>
      <c r="G725" s="3" t="n"/>
      <c r="H725" s="3" t="n"/>
      <c r="I725" s="3" t="n"/>
      <c r="J725" s="3" t="n"/>
      <c r="K725" s="3" t="n"/>
      <c r="L725" s="3" t="n"/>
      <c r="M725" s="3" t="n"/>
      <c r="N725" s="3" t="n"/>
    </row>
    <row r="726">
      <c r="A726" s="3" t="n"/>
      <c r="B726" s="3" t="n"/>
      <c r="C726" s="3" t="n"/>
      <c r="D726" s="3" t="n"/>
      <c r="E726" s="3" t="n"/>
      <c r="F726" s="3" t="n"/>
      <c r="G726" s="3" t="n"/>
      <c r="H726" s="3" t="n"/>
      <c r="I726" s="3" t="n"/>
      <c r="J726" s="3" t="n"/>
      <c r="K726" s="3" t="n"/>
      <c r="L726" s="3" t="n"/>
      <c r="M726" s="3" t="n"/>
      <c r="N726" s="3" t="n"/>
    </row>
    <row r="727">
      <c r="A727" s="3" t="n"/>
      <c r="B727" s="3" t="n"/>
      <c r="C727" s="3" t="n"/>
      <c r="D727" s="3" t="n"/>
      <c r="E727" s="3" t="n"/>
      <c r="F727" s="3" t="n"/>
      <c r="G727" s="3" t="n"/>
      <c r="H727" s="3" t="n"/>
      <c r="I727" s="3" t="n"/>
      <c r="J727" s="3" t="n"/>
      <c r="K727" s="3" t="n"/>
      <c r="L727" s="3" t="n"/>
      <c r="M727" s="3" t="n"/>
      <c r="N727" s="3" t="n"/>
    </row>
    <row r="728">
      <c r="A728" s="3" t="n"/>
      <c r="B728" s="3" t="n"/>
      <c r="C728" s="3" t="n"/>
      <c r="D728" s="3" t="n"/>
      <c r="E728" s="3" t="n"/>
      <c r="F728" s="3" t="n"/>
      <c r="G728" s="3" t="n"/>
      <c r="H728" s="3" t="n"/>
      <c r="I728" s="3" t="n"/>
      <c r="J728" s="3" t="n"/>
      <c r="K728" s="3" t="n"/>
      <c r="L728" s="3" t="n"/>
      <c r="M728" s="3" t="n"/>
      <c r="N728" s="3" t="n"/>
    </row>
    <row r="729">
      <c r="A729" s="3" t="n"/>
      <c r="B729" s="3" t="n"/>
      <c r="C729" s="3" t="n"/>
      <c r="D729" s="3" t="n"/>
      <c r="E729" s="3" t="n"/>
      <c r="F729" s="3" t="n"/>
      <c r="G729" s="3" t="n"/>
      <c r="H729" s="3" t="n"/>
      <c r="I729" s="3" t="n"/>
      <c r="J729" s="3" t="n"/>
      <c r="K729" s="3" t="n"/>
      <c r="L729" s="3" t="n"/>
      <c r="M729" s="3" t="n"/>
      <c r="N729" s="3" t="n"/>
    </row>
    <row r="730">
      <c r="A730" s="3" t="n"/>
      <c r="B730" s="3" t="n"/>
      <c r="C730" s="3" t="n"/>
      <c r="D730" s="3" t="n"/>
      <c r="E730" s="3" t="n"/>
      <c r="F730" s="3" t="n"/>
      <c r="G730" s="3" t="n"/>
      <c r="H730" s="3" t="n"/>
      <c r="I730" s="3" t="n"/>
      <c r="J730" s="3" t="n"/>
      <c r="K730" s="3" t="n"/>
      <c r="L730" s="3" t="n"/>
      <c r="M730" s="3" t="n"/>
      <c r="N730" s="3" t="n"/>
    </row>
    <row r="731">
      <c r="A731" s="3" t="n"/>
      <c r="B731" s="3" t="n"/>
      <c r="C731" s="3" t="n"/>
      <c r="D731" s="3" t="n"/>
      <c r="E731" s="3" t="n"/>
      <c r="F731" s="3" t="n"/>
      <c r="G731" s="3" t="n"/>
      <c r="H731" s="3" t="n"/>
      <c r="I731" s="3" t="n"/>
      <c r="J731" s="3" t="n"/>
      <c r="K731" s="3" t="n"/>
      <c r="L731" s="3" t="n"/>
      <c r="M731" s="3" t="n"/>
      <c r="N731" s="3" t="n"/>
    </row>
    <row r="732">
      <c r="A732" s="3" t="n"/>
      <c r="B732" s="3" t="n"/>
      <c r="C732" s="3" t="n"/>
      <c r="D732" s="3" t="n"/>
      <c r="E732" s="3" t="n"/>
      <c r="F732" s="3" t="n"/>
      <c r="G732" s="3" t="n"/>
      <c r="H732" s="3" t="n"/>
      <c r="I732" s="3" t="n"/>
      <c r="J732" s="3" t="n"/>
      <c r="K732" s="3" t="n"/>
      <c r="L732" s="3" t="n"/>
      <c r="M732" s="3" t="n"/>
      <c r="N732" s="3" t="n"/>
    </row>
    <row r="733">
      <c r="A733" s="3" t="n"/>
      <c r="B733" s="3" t="n"/>
      <c r="C733" s="3" t="n"/>
      <c r="D733" s="3" t="n"/>
      <c r="E733" s="3" t="n"/>
      <c r="F733" s="3" t="n"/>
      <c r="G733" s="3" t="n"/>
      <c r="H733" s="3" t="n"/>
      <c r="I733" s="3" t="n"/>
      <c r="J733" s="3" t="n"/>
      <c r="K733" s="3" t="n"/>
      <c r="L733" s="3" t="n"/>
      <c r="M733" s="3" t="n"/>
      <c r="N733" s="3" t="n"/>
    </row>
    <row r="734">
      <c r="A734" s="3" t="n"/>
      <c r="B734" s="3" t="n"/>
      <c r="C734" s="3" t="n"/>
      <c r="D734" s="3" t="n"/>
      <c r="E734" s="3" t="n"/>
      <c r="F734" s="3" t="n"/>
      <c r="G734" s="3" t="n"/>
      <c r="H734" s="3" t="n"/>
      <c r="I734" s="3" t="n"/>
      <c r="J734" s="3" t="n"/>
      <c r="K734" s="3" t="n"/>
      <c r="L734" s="3" t="n"/>
      <c r="M734" s="3" t="n"/>
      <c r="N734" s="3" t="n"/>
    </row>
    <row r="735">
      <c r="A735" s="3" t="n"/>
      <c r="B735" s="3" t="n"/>
      <c r="C735" s="3" t="n"/>
      <c r="D735" s="3" t="n"/>
      <c r="E735" s="3" t="n"/>
      <c r="F735" s="3" t="n"/>
      <c r="G735" s="3" t="n"/>
      <c r="H735" s="3" t="n"/>
      <c r="I735" s="3" t="n"/>
      <c r="J735" s="3" t="n"/>
      <c r="K735" s="3" t="n"/>
      <c r="L735" s="3" t="n"/>
      <c r="M735" s="3" t="n"/>
      <c r="N735" s="3" t="n"/>
    </row>
    <row r="736">
      <c r="A736" s="3" t="n"/>
      <c r="B736" s="3" t="n"/>
      <c r="C736" s="3" t="n"/>
      <c r="D736" s="3" t="n"/>
      <c r="E736" s="3" t="n"/>
      <c r="F736" s="3" t="n"/>
      <c r="G736" s="3" t="n"/>
      <c r="H736" s="3" t="n"/>
      <c r="I736" s="3" t="n"/>
      <c r="J736" s="3" t="n"/>
      <c r="K736" s="3" t="n"/>
      <c r="L736" s="3" t="n"/>
      <c r="M736" s="3" t="n"/>
      <c r="N736" s="3" t="n"/>
    </row>
    <row r="737">
      <c r="A737" s="3" t="n"/>
      <c r="B737" s="3" t="n"/>
      <c r="C737" s="3" t="n"/>
      <c r="D737" s="3" t="n"/>
      <c r="E737" s="3" t="n"/>
      <c r="F737" s="3" t="n"/>
      <c r="G737" s="3" t="n"/>
      <c r="H737" s="3" t="n"/>
      <c r="I737" s="3" t="n"/>
      <c r="J737" s="3" t="n"/>
      <c r="K737" s="3" t="n"/>
      <c r="L737" s="3" t="n"/>
      <c r="M737" s="3" t="n"/>
      <c r="N737" s="3" t="n"/>
    </row>
    <row r="738">
      <c r="A738" s="3" t="n"/>
      <c r="B738" s="3" t="n"/>
      <c r="C738" s="3" t="n"/>
      <c r="D738" s="3" t="n"/>
      <c r="E738" s="3" t="n"/>
      <c r="F738" s="3" t="n"/>
      <c r="G738" s="3" t="n"/>
      <c r="H738" s="3" t="n"/>
      <c r="I738" s="3" t="n"/>
      <c r="J738" s="3" t="n"/>
      <c r="K738" s="3" t="n"/>
      <c r="L738" s="3" t="n"/>
      <c r="M738" s="3" t="n"/>
      <c r="N738" s="3" t="n"/>
    </row>
    <row r="739">
      <c r="A739" s="3" t="n"/>
      <c r="B739" s="3" t="n"/>
      <c r="C739" s="3" t="n"/>
      <c r="D739" s="3" t="n"/>
      <c r="E739" s="3" t="n"/>
      <c r="F739" s="3" t="n"/>
      <c r="G739" s="3" t="n"/>
      <c r="H739" s="3" t="n"/>
      <c r="I739" s="3" t="n"/>
      <c r="J739" s="3" t="n"/>
      <c r="K739" s="3" t="n"/>
      <c r="L739" s="3" t="n"/>
      <c r="M739" s="3" t="n"/>
      <c r="N739" s="3" t="n"/>
    </row>
    <row r="740">
      <c r="A740" s="3" t="n"/>
      <c r="B740" s="3" t="n"/>
      <c r="C740" s="3" t="n"/>
      <c r="D740" s="3" t="n"/>
      <c r="E740" s="3" t="n"/>
      <c r="F740" s="3" t="n"/>
      <c r="G740" s="3" t="n"/>
      <c r="H740" s="3" t="n"/>
      <c r="I740" s="3" t="n"/>
      <c r="J740" s="3" t="n"/>
      <c r="K740" s="3" t="n"/>
      <c r="L740" s="3" t="n"/>
      <c r="M740" s="3" t="n"/>
      <c r="N740" s="3" t="n"/>
    </row>
    <row r="741">
      <c r="A741" s="3" t="n"/>
      <c r="B741" s="3" t="n"/>
      <c r="C741" s="3" t="n"/>
      <c r="D741" s="3" t="n"/>
      <c r="E741" s="3" t="n"/>
      <c r="F741" s="3" t="n"/>
      <c r="G741" s="3" t="n"/>
      <c r="H741" s="3" t="n"/>
      <c r="I741" s="3" t="n"/>
      <c r="J741" s="3" t="n"/>
      <c r="K741" s="3" t="n"/>
      <c r="L741" s="3" t="n"/>
      <c r="M741" s="3" t="n"/>
      <c r="N741" s="3" t="n"/>
    </row>
    <row r="742">
      <c r="A742" s="3" t="n"/>
      <c r="B742" s="3" t="n"/>
      <c r="C742" s="3" t="n"/>
      <c r="D742" s="3" t="n"/>
      <c r="E742" s="3" t="n"/>
      <c r="F742" s="3" t="n"/>
      <c r="G742" s="3" t="n"/>
      <c r="H742" s="3" t="n"/>
      <c r="I742" s="3" t="n"/>
      <c r="J742" s="3" t="n"/>
      <c r="K742" s="3" t="n"/>
      <c r="L742" s="3" t="n"/>
      <c r="M742" s="3" t="n"/>
      <c r="N742" s="3" t="n"/>
    </row>
    <row r="743">
      <c r="A743" s="3" t="n"/>
      <c r="B743" s="3" t="n"/>
      <c r="C743" s="3" t="n"/>
      <c r="D743" s="3" t="n"/>
      <c r="E743" s="3" t="n"/>
      <c r="F743" s="3" t="n"/>
      <c r="G743" s="3" t="n"/>
      <c r="H743" s="3" t="n"/>
      <c r="I743" s="3" t="n"/>
      <c r="J743" s="3" t="n"/>
      <c r="K743" s="3" t="n"/>
      <c r="L743" s="3" t="n"/>
      <c r="M743" s="3" t="n"/>
      <c r="N743" s="3" t="n"/>
    </row>
    <row r="744">
      <c r="A744" s="3" t="n"/>
      <c r="B744" s="3" t="n"/>
      <c r="C744" s="3" t="n"/>
      <c r="D744" s="3" t="n"/>
      <c r="E744" s="3" t="n"/>
      <c r="F744" s="3" t="n"/>
      <c r="G744" s="3" t="n"/>
      <c r="H744" s="3" t="n"/>
      <c r="I744" s="3" t="n"/>
      <c r="J744" s="3" t="n"/>
      <c r="K744" s="3" t="n"/>
      <c r="L744" s="3" t="n"/>
      <c r="M744" s="3" t="n"/>
      <c r="N744" s="3" t="n"/>
    </row>
    <row r="745">
      <c r="A745" s="3" t="n"/>
      <c r="B745" s="3" t="n"/>
      <c r="C745" s="3" t="n"/>
      <c r="D745" s="3" t="n"/>
      <c r="E745" s="3" t="n"/>
      <c r="F745" s="3" t="n"/>
      <c r="G745" s="3" t="n"/>
      <c r="H745" s="3" t="n"/>
      <c r="I745" s="3" t="n"/>
      <c r="J745" s="3" t="n"/>
      <c r="K745" s="3" t="n"/>
      <c r="L745" s="3" t="n"/>
      <c r="M745" s="3" t="n"/>
      <c r="N745" s="3" t="n"/>
    </row>
    <row r="746">
      <c r="A746" s="3" t="n"/>
      <c r="B746" s="3" t="n"/>
      <c r="C746" s="3" t="n"/>
      <c r="D746" s="3" t="n"/>
      <c r="E746" s="3" t="n"/>
      <c r="F746" s="3" t="n"/>
      <c r="G746" s="3" t="n"/>
      <c r="H746" s="3" t="n"/>
      <c r="I746" s="3" t="n"/>
      <c r="J746" s="3" t="n"/>
      <c r="K746" s="3" t="n"/>
      <c r="L746" s="3" t="n"/>
      <c r="M746" s="3" t="n"/>
      <c r="N746" s="3" t="n"/>
    </row>
    <row r="747">
      <c r="A747" s="3" t="n"/>
      <c r="B747" s="3" t="n"/>
      <c r="C747" s="3" t="n"/>
      <c r="D747" s="3" t="n"/>
      <c r="E747" s="3" t="n"/>
      <c r="F747" s="3" t="n"/>
      <c r="G747" s="3" t="n"/>
      <c r="H747" s="3" t="n"/>
      <c r="I747" s="3" t="n"/>
      <c r="J747" s="3" t="n"/>
      <c r="K747" s="3" t="n"/>
      <c r="L747" s="3" t="n"/>
      <c r="M747" s="3" t="n"/>
      <c r="N747" s="3" t="n"/>
    </row>
    <row r="748">
      <c r="A748" s="3" t="n"/>
      <c r="B748" s="3" t="n"/>
      <c r="C748" s="3" t="n"/>
      <c r="D748" s="3" t="n"/>
      <c r="E748" s="3" t="n"/>
      <c r="F748" s="3" t="n"/>
      <c r="G748" s="3" t="n"/>
      <c r="H748" s="3" t="n"/>
      <c r="I748" s="3" t="n"/>
      <c r="J748" s="3" t="n"/>
      <c r="K748" s="3" t="n"/>
      <c r="L748" s="3" t="n"/>
      <c r="M748" s="3" t="n"/>
      <c r="N748" s="3" t="n"/>
    </row>
    <row r="749">
      <c r="A749" s="3" t="n"/>
      <c r="B749" s="3" t="n"/>
      <c r="C749" s="3" t="n"/>
      <c r="D749" s="3" t="n"/>
      <c r="E749" s="3" t="n"/>
      <c r="F749" s="3" t="n"/>
      <c r="G749" s="3" t="n"/>
      <c r="H749" s="3" t="n"/>
      <c r="I749" s="3" t="n"/>
      <c r="J749" s="3" t="n"/>
      <c r="K749" s="3" t="n"/>
      <c r="L749" s="3" t="n"/>
      <c r="M749" s="3" t="n"/>
      <c r="N749" s="3" t="n"/>
    </row>
    <row r="750">
      <c r="A750" s="3" t="n"/>
      <c r="B750" s="3" t="n"/>
      <c r="C750" s="3" t="n"/>
      <c r="D750" s="3" t="n"/>
      <c r="E750" s="3" t="n"/>
      <c r="F750" s="3" t="n"/>
      <c r="G750" s="3" t="n"/>
      <c r="H750" s="3" t="n"/>
      <c r="I750" s="3" t="n"/>
      <c r="J750" s="3" t="n"/>
      <c r="K750" s="3" t="n"/>
      <c r="L750" s="3" t="n"/>
      <c r="M750" s="3" t="n"/>
      <c r="N750" s="3" t="n"/>
    </row>
    <row r="751">
      <c r="A751" s="3" t="n"/>
      <c r="B751" s="3" t="n"/>
      <c r="C751" s="3" t="n"/>
      <c r="D751" s="3" t="n"/>
      <c r="E751" s="3" t="n"/>
      <c r="F751" s="3" t="n"/>
      <c r="G751" s="3" t="n"/>
      <c r="H751" s="3" t="n"/>
      <c r="I751" s="3" t="n"/>
      <c r="J751" s="3" t="n"/>
      <c r="K751" s="3" t="n"/>
      <c r="L751" s="3" t="n"/>
      <c r="M751" s="3" t="n"/>
      <c r="N751" s="3" t="n"/>
    </row>
    <row r="752">
      <c r="A752" s="3" t="n"/>
      <c r="B752" s="3" t="n"/>
      <c r="C752" s="3" t="n"/>
      <c r="D752" s="3" t="n"/>
      <c r="E752" s="3" t="n"/>
      <c r="F752" s="3" t="n"/>
      <c r="G752" s="3" t="n"/>
      <c r="H752" s="3" t="n"/>
      <c r="I752" s="3" t="n"/>
      <c r="J752" s="3" t="n"/>
      <c r="K752" s="3" t="n"/>
      <c r="L752" s="3" t="n"/>
      <c r="M752" s="3" t="n"/>
      <c r="N752" s="3" t="n"/>
    </row>
    <row r="753">
      <c r="A753" s="3" t="n"/>
      <c r="B753" s="3" t="n"/>
      <c r="C753" s="3" t="n"/>
      <c r="D753" s="3" t="n"/>
      <c r="E753" s="3" t="n"/>
      <c r="F753" s="3" t="n"/>
      <c r="G753" s="3" t="n"/>
      <c r="H753" s="3" t="n"/>
      <c r="I753" s="3" t="n"/>
      <c r="J753" s="3" t="n"/>
      <c r="K753" s="3" t="n"/>
      <c r="L753" s="3" t="n"/>
      <c r="M753" s="3" t="n"/>
      <c r="N753" s="3" t="n"/>
    </row>
    <row r="754">
      <c r="A754" s="3" t="n"/>
      <c r="B754" s="3" t="n"/>
      <c r="C754" s="3" t="n"/>
      <c r="D754" s="3" t="n"/>
      <c r="E754" s="3" t="n"/>
      <c r="F754" s="3" t="n"/>
      <c r="G754" s="3" t="n"/>
      <c r="H754" s="3" t="n"/>
      <c r="I754" s="3" t="n"/>
      <c r="J754" s="3" t="n"/>
      <c r="K754" s="3" t="n"/>
      <c r="L754" s="3" t="n"/>
      <c r="M754" s="3" t="n"/>
      <c r="N754" s="3" t="n"/>
    </row>
    <row r="755">
      <c r="A755" s="3" t="n"/>
      <c r="B755" s="3" t="n"/>
      <c r="C755" s="3" t="n"/>
      <c r="D755" s="3" t="n"/>
      <c r="E755" s="3" t="n"/>
      <c r="F755" s="3" t="n"/>
      <c r="G755" s="3" t="n"/>
      <c r="H755" s="3" t="n"/>
      <c r="I755" s="3" t="n"/>
      <c r="J755" s="3" t="n"/>
      <c r="K755" s="3" t="n"/>
      <c r="L755" s="3" t="n"/>
      <c r="M755" s="3" t="n"/>
      <c r="N755" s="3" t="n"/>
    </row>
    <row r="756">
      <c r="A756" s="3" t="n"/>
      <c r="B756" s="3" t="n"/>
      <c r="C756" s="3" t="n"/>
      <c r="D756" s="3" t="n"/>
      <c r="E756" s="3" t="n"/>
      <c r="F756" s="3" t="n"/>
      <c r="G756" s="3" t="n"/>
      <c r="H756" s="3" t="n"/>
      <c r="I756" s="3" t="n"/>
      <c r="J756" s="3" t="n"/>
      <c r="K756" s="3" t="n"/>
      <c r="L756" s="3" t="n"/>
      <c r="M756" s="3" t="n"/>
      <c r="N756" s="3" t="n"/>
    </row>
    <row r="757">
      <c r="A757" s="3" t="n"/>
      <c r="B757" s="3" t="n"/>
      <c r="C757" s="3" t="n"/>
      <c r="D757" s="3" t="n"/>
      <c r="E757" s="3" t="n"/>
      <c r="F757" s="3" t="n"/>
      <c r="G757" s="3" t="n"/>
      <c r="H757" s="3" t="n"/>
      <c r="I757" s="3" t="n"/>
      <c r="J757" s="3" t="n"/>
      <c r="K757" s="3" t="n"/>
      <c r="L757" s="3" t="n"/>
      <c r="M757" s="3" t="n"/>
      <c r="N757" s="3" t="n"/>
    </row>
    <row r="758">
      <c r="A758" s="3" t="n"/>
      <c r="B758" s="3" t="n"/>
      <c r="C758" s="3" t="n"/>
      <c r="D758" s="3" t="n"/>
      <c r="E758" s="3" t="n"/>
      <c r="F758" s="3" t="n"/>
      <c r="G758" s="3" t="n"/>
      <c r="H758" s="3" t="n"/>
      <c r="I758" s="3" t="n"/>
      <c r="J758" s="3" t="n"/>
      <c r="K758" s="3" t="n"/>
      <c r="L758" s="3" t="n"/>
      <c r="M758" s="3" t="n"/>
      <c r="N758" s="3" t="n"/>
    </row>
    <row r="759">
      <c r="A759" s="3" t="n"/>
      <c r="B759" s="3" t="n"/>
      <c r="C759" s="3" t="n"/>
      <c r="D759" s="3" t="n"/>
      <c r="E759" s="3" t="n"/>
      <c r="F759" s="3" t="n"/>
      <c r="G759" s="3" t="n"/>
      <c r="H759" s="3" t="n"/>
      <c r="I759" s="3" t="n"/>
      <c r="J759" s="3" t="n"/>
      <c r="K759" s="3" t="n"/>
      <c r="L759" s="3" t="n"/>
      <c r="M759" s="3" t="n"/>
      <c r="N759" s="3" t="n"/>
    </row>
    <row r="760">
      <c r="A760" s="3" t="n"/>
      <c r="B760" s="3" t="n"/>
      <c r="C760" s="3" t="n"/>
      <c r="D760" s="3" t="n"/>
      <c r="E760" s="3" t="n"/>
      <c r="F760" s="3" t="n"/>
      <c r="G760" s="3" t="n"/>
      <c r="H760" s="3" t="n"/>
      <c r="I760" s="3" t="n"/>
      <c r="J760" s="3" t="n"/>
      <c r="K760" s="3" t="n"/>
      <c r="L760" s="3" t="n"/>
      <c r="M760" s="3" t="n"/>
      <c r="N760" s="3" t="n"/>
    </row>
    <row r="761">
      <c r="A761" s="3" t="n"/>
      <c r="B761" s="3" t="n"/>
      <c r="C761" s="3" t="n"/>
      <c r="D761" s="3" t="n"/>
      <c r="E761" s="3" t="n"/>
      <c r="F761" s="3" t="n"/>
      <c r="G761" s="3" t="n"/>
      <c r="H761" s="3" t="n"/>
      <c r="I761" s="3" t="n"/>
      <c r="J761" s="3" t="n"/>
      <c r="K761" s="3" t="n"/>
      <c r="L761" s="3" t="n"/>
      <c r="M761" s="3" t="n"/>
      <c r="N761" s="3" t="n"/>
    </row>
    <row r="762">
      <c r="A762" s="3" t="n"/>
      <c r="B762" s="3" t="n"/>
      <c r="C762" s="3" t="n"/>
      <c r="D762" s="3" t="n"/>
      <c r="E762" s="3" t="n"/>
      <c r="F762" s="3" t="n"/>
      <c r="G762" s="3" t="n"/>
      <c r="H762" s="3" t="n"/>
      <c r="I762" s="3" t="n"/>
      <c r="J762" s="3" t="n"/>
      <c r="K762" s="3" t="n"/>
      <c r="L762" s="3" t="n"/>
      <c r="M762" s="3" t="n"/>
      <c r="N762" s="3" t="n"/>
    </row>
    <row r="763">
      <c r="A763" s="3" t="n"/>
      <c r="B763" s="3" t="n"/>
      <c r="C763" s="3" t="n"/>
      <c r="D763" s="3" t="n"/>
      <c r="E763" s="3" t="n"/>
      <c r="F763" s="3" t="n"/>
      <c r="G763" s="3" t="n"/>
      <c r="H763" s="3" t="n"/>
      <c r="I763" s="3" t="n"/>
      <c r="J763" s="3" t="n"/>
      <c r="K763" s="3" t="n"/>
      <c r="L763" s="3" t="n"/>
      <c r="M763" s="3" t="n"/>
      <c r="N763" s="3" t="n"/>
    </row>
    <row r="764">
      <c r="A764" s="3" t="n"/>
      <c r="B764" s="3" t="n"/>
      <c r="C764" s="3" t="n"/>
      <c r="D764" s="3" t="n"/>
      <c r="E764" s="3" t="n"/>
      <c r="F764" s="3" t="n"/>
      <c r="G764" s="3" t="n"/>
      <c r="H764" s="3" t="n"/>
      <c r="I764" s="3" t="n"/>
      <c r="J764" s="3" t="n"/>
      <c r="K764" s="3" t="n"/>
      <c r="L764" s="3" t="n"/>
      <c r="M764" s="3" t="n"/>
      <c r="N764" s="3" t="n"/>
    </row>
    <row r="765">
      <c r="A765" s="3" t="n"/>
      <c r="B765" s="3" t="n"/>
      <c r="C765" s="3" t="n"/>
      <c r="D765" s="3" t="n"/>
      <c r="E765" s="3" t="n"/>
      <c r="F765" s="3" t="n"/>
      <c r="G765" s="3" t="n"/>
      <c r="H765" s="3" t="n"/>
      <c r="I765" s="3" t="n"/>
      <c r="J765" s="3" t="n"/>
      <c r="K765" s="3" t="n"/>
      <c r="L765" s="3" t="n"/>
      <c r="M765" s="3" t="n"/>
      <c r="N765" s="3" t="n"/>
    </row>
    <row r="766">
      <c r="A766" s="3" t="n"/>
      <c r="B766" s="3" t="n"/>
      <c r="C766" s="3" t="n"/>
      <c r="D766" s="3" t="n"/>
      <c r="E766" s="3" t="n"/>
      <c r="F766" s="3" t="n"/>
      <c r="G766" s="3" t="n"/>
      <c r="H766" s="3" t="n"/>
      <c r="I766" s="3" t="n"/>
      <c r="J766" s="3" t="n"/>
      <c r="K766" s="3" t="n"/>
      <c r="L766" s="3" t="n"/>
      <c r="M766" s="3" t="n"/>
      <c r="N766" s="3" t="n"/>
    </row>
    <row r="767">
      <c r="A767" s="3" t="n"/>
      <c r="B767" s="3" t="n"/>
      <c r="C767" s="3" t="n"/>
      <c r="D767" s="3" t="n"/>
      <c r="E767" s="3" t="n"/>
      <c r="F767" s="3" t="n"/>
      <c r="G767" s="3" t="n"/>
      <c r="H767" s="3" t="n"/>
      <c r="I767" s="3" t="n"/>
      <c r="J767" s="3" t="n"/>
      <c r="K767" s="3" t="n"/>
      <c r="L767" s="3" t="n"/>
      <c r="M767" s="3" t="n"/>
      <c r="N767" s="3" t="n"/>
    </row>
    <row r="768">
      <c r="A768" s="3" t="n"/>
      <c r="B768" s="3" t="n"/>
      <c r="C768" s="3" t="n"/>
      <c r="D768" s="3" t="n"/>
      <c r="E768" s="3" t="n"/>
      <c r="F768" s="3" t="n"/>
      <c r="G768" s="3" t="n"/>
      <c r="H768" s="3" t="n"/>
      <c r="I768" s="3" t="n"/>
      <c r="J768" s="3" t="n"/>
      <c r="K768" s="3" t="n"/>
      <c r="L768" s="3" t="n"/>
      <c r="M768" s="3" t="n"/>
      <c r="N768" s="3" t="n"/>
    </row>
    <row r="769">
      <c r="A769" s="3" t="n"/>
      <c r="B769" s="3" t="n"/>
      <c r="C769" s="3" t="n"/>
      <c r="D769" s="3" t="n"/>
      <c r="E769" s="3" t="n"/>
      <c r="F769" s="3" t="n"/>
      <c r="G769" s="3" t="n"/>
      <c r="H769" s="3" t="n"/>
      <c r="I769" s="3" t="n"/>
      <c r="J769" s="3" t="n"/>
      <c r="K769" s="3" t="n"/>
      <c r="L769" s="3" t="n"/>
      <c r="M769" s="3" t="n"/>
      <c r="N769" s="3" t="n"/>
    </row>
    <row r="770">
      <c r="A770" s="3" t="n"/>
      <c r="B770" s="3" t="n"/>
      <c r="C770" s="3" t="n"/>
      <c r="D770" s="3" t="n"/>
      <c r="E770" s="3" t="n"/>
      <c r="F770" s="3" t="n"/>
      <c r="G770" s="3" t="n"/>
      <c r="H770" s="3" t="n"/>
      <c r="I770" s="3" t="n"/>
      <c r="J770" s="3" t="n"/>
      <c r="K770" s="3" t="n"/>
      <c r="L770" s="3" t="n"/>
      <c r="M770" s="3" t="n"/>
      <c r="N770" s="3" t="n"/>
    </row>
    <row r="771">
      <c r="A771" s="3" t="n"/>
      <c r="B771" s="3" t="n"/>
      <c r="C771" s="3" t="n"/>
      <c r="D771" s="3" t="n"/>
      <c r="E771" s="3" t="n"/>
      <c r="F771" s="3" t="n"/>
      <c r="G771" s="3" t="n"/>
      <c r="H771" s="3" t="n"/>
      <c r="I771" s="3" t="n"/>
      <c r="J771" s="3" t="n"/>
      <c r="K771" s="3" t="n"/>
      <c r="L771" s="3" t="n"/>
      <c r="M771" s="3" t="n"/>
      <c r="N771" s="3" t="n"/>
    </row>
    <row r="772">
      <c r="A772" s="3" t="n"/>
      <c r="B772" s="3" t="n"/>
      <c r="C772" s="3" t="n"/>
      <c r="D772" s="3" t="n"/>
      <c r="E772" s="3" t="n"/>
      <c r="F772" s="3" t="n"/>
      <c r="G772" s="3" t="n"/>
      <c r="H772" s="3" t="n"/>
      <c r="I772" s="3" t="n"/>
      <c r="J772" s="3" t="n"/>
      <c r="K772" s="3" t="n"/>
      <c r="L772" s="3" t="n"/>
      <c r="M772" s="3" t="n"/>
      <c r="N772" s="3" t="n"/>
    </row>
    <row r="773">
      <c r="A773" s="3" t="n"/>
      <c r="B773" s="3" t="n"/>
      <c r="C773" s="3" t="n"/>
      <c r="D773" s="3" t="n"/>
      <c r="E773" s="3" t="n"/>
      <c r="F773" s="3" t="n"/>
      <c r="G773" s="3" t="n"/>
      <c r="H773" s="3" t="n"/>
      <c r="I773" s="3" t="n"/>
      <c r="J773" s="3" t="n"/>
      <c r="K773" s="3" t="n"/>
      <c r="L773" s="3" t="n"/>
      <c r="M773" s="3" t="n"/>
      <c r="N773" s="3" t="n"/>
    </row>
    <row r="774">
      <c r="A774" s="3" t="n"/>
      <c r="B774" s="3" t="n"/>
      <c r="C774" s="3" t="n"/>
      <c r="D774" s="3" t="n"/>
      <c r="E774" s="3" t="n"/>
      <c r="F774" s="3" t="n"/>
      <c r="G774" s="3" t="n"/>
      <c r="H774" s="3" t="n"/>
      <c r="I774" s="3" t="n"/>
      <c r="J774" s="3" t="n"/>
      <c r="K774" s="3" t="n"/>
      <c r="L774" s="3" t="n"/>
      <c r="M774" s="3" t="n"/>
      <c r="N774" s="3" t="n"/>
    </row>
    <row r="775">
      <c r="A775" s="3" t="n"/>
      <c r="B775" s="3" t="n"/>
      <c r="C775" s="3" t="n"/>
      <c r="D775" s="3" t="n"/>
      <c r="E775" s="3" t="n"/>
      <c r="F775" s="3" t="n"/>
      <c r="G775" s="3" t="n"/>
      <c r="H775" s="3" t="n"/>
      <c r="I775" s="3" t="n"/>
      <c r="J775" s="3" t="n"/>
      <c r="K775" s="3" t="n"/>
      <c r="L775" s="3" t="n"/>
      <c r="M775" s="3" t="n"/>
      <c r="N775" s="3" t="n"/>
    </row>
    <row r="776">
      <c r="A776" s="3" t="n"/>
      <c r="B776" s="3" t="n"/>
      <c r="C776" s="3" t="n"/>
      <c r="D776" s="3" t="n"/>
      <c r="E776" s="3" t="n"/>
      <c r="F776" s="3" t="n"/>
      <c r="G776" s="3" t="n"/>
      <c r="H776" s="3" t="n"/>
      <c r="I776" s="3" t="n"/>
      <c r="J776" s="3" t="n"/>
      <c r="K776" s="3" t="n"/>
      <c r="L776" s="3" t="n"/>
      <c r="M776" s="3" t="n"/>
      <c r="N776" s="3" t="n"/>
    </row>
    <row r="777">
      <c r="A777" s="3" t="n"/>
      <c r="B777" s="3" t="n"/>
      <c r="C777" s="3" t="n"/>
      <c r="D777" s="3" t="n"/>
      <c r="E777" s="3" t="n"/>
      <c r="F777" s="3" t="n"/>
      <c r="G777" s="3" t="n"/>
      <c r="H777" s="3" t="n"/>
      <c r="I777" s="3" t="n"/>
      <c r="J777" s="3" t="n"/>
      <c r="K777" s="3" t="n"/>
      <c r="L777" s="3" t="n"/>
      <c r="M777" s="3" t="n"/>
      <c r="N777" s="3" t="n"/>
    </row>
    <row r="778">
      <c r="A778" s="3" t="n"/>
      <c r="B778" s="3" t="n"/>
      <c r="C778" s="3" t="n"/>
      <c r="D778" s="3" t="n"/>
      <c r="E778" s="3" t="n"/>
      <c r="F778" s="3" t="n"/>
      <c r="G778" s="3" t="n"/>
      <c r="H778" s="3" t="n"/>
      <c r="I778" s="3" t="n"/>
      <c r="J778" s="3" t="n"/>
      <c r="K778" s="3" t="n"/>
      <c r="L778" s="3" t="n"/>
      <c r="M778" s="3" t="n"/>
      <c r="N778" s="3" t="n"/>
    </row>
    <row r="779">
      <c r="A779" s="3" t="n"/>
      <c r="B779" s="3" t="n"/>
      <c r="C779" s="3" t="n"/>
      <c r="D779" s="3" t="n"/>
      <c r="E779" s="3" t="n"/>
      <c r="F779" s="3" t="n"/>
      <c r="G779" s="3" t="n"/>
      <c r="H779" s="3" t="n"/>
      <c r="I779" s="3" t="n"/>
      <c r="J779" s="3" t="n"/>
      <c r="K779" s="3" t="n"/>
      <c r="L779" s="3" t="n"/>
      <c r="M779" s="3" t="n"/>
      <c r="N779" s="3" t="n"/>
    </row>
    <row r="780">
      <c r="A780" s="3" t="n"/>
      <c r="B780" s="3" t="n"/>
      <c r="C780" s="3" t="n"/>
      <c r="D780" s="3" t="n"/>
      <c r="E780" s="3" t="n"/>
      <c r="F780" s="3" t="n"/>
      <c r="G780" s="3" t="n"/>
      <c r="H780" s="3" t="n"/>
      <c r="I780" s="3" t="n"/>
      <c r="J780" s="3" t="n"/>
      <c r="K780" s="3" t="n"/>
      <c r="L780" s="3" t="n"/>
      <c r="M780" s="3" t="n"/>
      <c r="N780" s="3" t="n"/>
    </row>
    <row r="781">
      <c r="A781" s="3" t="n"/>
      <c r="B781" s="3" t="n"/>
      <c r="C781" s="3" t="n"/>
      <c r="D781" s="3" t="n"/>
      <c r="E781" s="3" t="n"/>
      <c r="F781" s="3" t="n"/>
      <c r="G781" s="3" t="n"/>
      <c r="H781" s="3" t="n"/>
      <c r="I781" s="3" t="n"/>
      <c r="J781" s="3" t="n"/>
      <c r="K781" s="3" t="n"/>
      <c r="L781" s="3" t="n"/>
      <c r="M781" s="3" t="n"/>
      <c r="N781" s="3" t="n"/>
    </row>
    <row r="782">
      <c r="A782" s="3" t="n"/>
      <c r="B782" s="3" t="n"/>
      <c r="C782" s="3" t="n"/>
      <c r="D782" s="3" t="n"/>
      <c r="E782" s="3" t="n"/>
      <c r="F782" s="3" t="n"/>
      <c r="G782" s="3" t="n"/>
      <c r="H782" s="3" t="n"/>
      <c r="I782" s="3" t="n"/>
      <c r="J782" s="3" t="n"/>
      <c r="K782" s="3" t="n"/>
      <c r="L782" s="3" t="n"/>
      <c r="M782" s="3" t="n"/>
      <c r="N782" s="3" t="n"/>
    </row>
    <row r="783">
      <c r="A783" s="3" t="n"/>
      <c r="B783" s="3" t="n"/>
      <c r="C783" s="3" t="n"/>
      <c r="D783" s="3" t="n"/>
      <c r="E783" s="3" t="n"/>
      <c r="F783" s="3" t="n"/>
      <c r="G783" s="3" t="n"/>
      <c r="H783" s="3" t="n"/>
      <c r="I783" s="3" t="n"/>
      <c r="J783" s="3" t="n"/>
      <c r="K783" s="3" t="n"/>
      <c r="L783" s="3" t="n"/>
      <c r="M783" s="3" t="n"/>
      <c r="N783" s="3" t="n"/>
    </row>
    <row r="784">
      <c r="A784" s="3" t="n"/>
      <c r="B784" s="3" t="n"/>
      <c r="C784" s="3" t="n"/>
      <c r="D784" s="3" t="n"/>
      <c r="E784" s="3" t="n"/>
      <c r="F784" s="3" t="n"/>
      <c r="G784" s="3" t="n"/>
      <c r="H784" s="3" t="n"/>
      <c r="I784" s="3" t="n"/>
      <c r="J784" s="3" t="n"/>
      <c r="K784" s="3" t="n"/>
      <c r="L784" s="3" t="n"/>
      <c r="M784" s="3" t="n"/>
      <c r="N784" s="3" t="n"/>
    </row>
    <row r="785">
      <c r="A785" s="3" t="n"/>
      <c r="B785" s="3" t="n"/>
      <c r="C785" s="3" t="n"/>
      <c r="D785" s="3" t="n"/>
      <c r="E785" s="3" t="n"/>
      <c r="F785" s="3" t="n"/>
      <c r="G785" s="3" t="n"/>
      <c r="H785" s="3" t="n"/>
      <c r="I785" s="3" t="n"/>
      <c r="J785" s="3" t="n"/>
      <c r="K785" s="3" t="n"/>
      <c r="L785" s="3" t="n"/>
      <c r="M785" s="3" t="n"/>
      <c r="N785" s="3" t="n"/>
    </row>
    <row r="786">
      <c r="A786" s="3" t="n"/>
      <c r="B786" s="3" t="n"/>
      <c r="C786" s="3" t="n"/>
      <c r="D786" s="3" t="n"/>
      <c r="E786" s="3" t="n"/>
      <c r="F786" s="3" t="n"/>
      <c r="G786" s="3" t="n"/>
      <c r="H786" s="3" t="n"/>
      <c r="I786" s="3" t="n"/>
      <c r="J786" s="3" t="n"/>
      <c r="K786" s="3" t="n"/>
      <c r="L786" s="3" t="n"/>
      <c r="M786" s="3" t="n"/>
      <c r="N786" s="3" t="n"/>
    </row>
    <row r="787">
      <c r="A787" s="3" t="n"/>
      <c r="B787" s="3" t="n"/>
      <c r="C787" s="3" t="n"/>
      <c r="D787" s="3" t="n"/>
      <c r="E787" s="3" t="n"/>
      <c r="F787" s="3" t="n"/>
      <c r="G787" s="3" t="n"/>
      <c r="H787" s="3" t="n"/>
      <c r="I787" s="3" t="n"/>
      <c r="J787" s="3" t="n"/>
      <c r="K787" s="3" t="n"/>
      <c r="L787" s="3" t="n"/>
      <c r="M787" s="3" t="n"/>
      <c r="N787" s="3" t="n"/>
    </row>
    <row r="788">
      <c r="A788" s="3" t="n"/>
      <c r="B788" s="3" t="n"/>
      <c r="C788" s="3" t="n"/>
      <c r="D788" s="3" t="n"/>
      <c r="E788" s="3" t="n"/>
      <c r="F788" s="3" t="n"/>
      <c r="G788" s="3" t="n"/>
      <c r="H788" s="3" t="n"/>
      <c r="I788" s="3" t="n"/>
      <c r="J788" s="3" t="n"/>
      <c r="K788" s="3" t="n"/>
      <c r="L788" s="3" t="n"/>
      <c r="M788" s="3" t="n"/>
      <c r="N788" s="3" t="n"/>
    </row>
    <row r="789">
      <c r="A789" s="3" t="n"/>
      <c r="B789" s="3" t="n"/>
      <c r="C789" s="3" t="n"/>
      <c r="D789" s="3" t="n"/>
      <c r="E789" s="3" t="n"/>
      <c r="F789" s="3" t="n"/>
      <c r="G789" s="3" t="n"/>
      <c r="H789" s="3" t="n"/>
      <c r="I789" s="3" t="n"/>
      <c r="J789" s="3" t="n"/>
      <c r="K789" s="3" t="n"/>
      <c r="L789" s="3" t="n"/>
      <c r="M789" s="3" t="n"/>
      <c r="N789" s="3" t="n"/>
    </row>
    <row r="790">
      <c r="A790" s="3" t="n"/>
      <c r="B790" s="3" t="n"/>
      <c r="C790" s="3" t="n"/>
      <c r="D790" s="3" t="n"/>
      <c r="E790" s="3" t="n"/>
      <c r="F790" s="3" t="n"/>
      <c r="G790" s="3" t="n"/>
      <c r="H790" s="3" t="n"/>
      <c r="I790" s="3" t="n"/>
      <c r="J790" s="3" t="n"/>
      <c r="K790" s="3" t="n"/>
      <c r="L790" s="3" t="n"/>
      <c r="M790" s="3" t="n"/>
      <c r="N790" s="3" t="n"/>
    </row>
    <row r="791">
      <c r="A791" s="3" t="n"/>
      <c r="B791" s="3" t="n"/>
      <c r="C791" s="3" t="n"/>
      <c r="D791" s="3" t="n"/>
      <c r="E791" s="3" t="n"/>
      <c r="F791" s="3" t="n"/>
      <c r="G791" s="3" t="n"/>
      <c r="H791" s="3" t="n"/>
      <c r="I791" s="3" t="n"/>
      <c r="J791" s="3" t="n"/>
      <c r="K791" s="3" t="n"/>
      <c r="L791" s="3" t="n"/>
      <c r="M791" s="3" t="n"/>
      <c r="N791" s="3" t="n"/>
    </row>
    <row r="792">
      <c r="A792" s="3" t="n"/>
      <c r="B792" s="3" t="n"/>
      <c r="C792" s="3" t="n"/>
      <c r="D792" s="3" t="n"/>
      <c r="E792" s="3" t="n"/>
      <c r="F792" s="3" t="n"/>
      <c r="G792" s="3" t="n"/>
      <c r="H792" s="3" t="n"/>
      <c r="I792" s="3" t="n"/>
      <c r="J792" s="3" t="n"/>
      <c r="K792" s="3" t="n"/>
      <c r="L792" s="3" t="n"/>
      <c r="M792" s="3" t="n"/>
      <c r="N792" s="3" t="n"/>
    </row>
    <row r="793">
      <c r="A793" s="3" t="n"/>
      <c r="B793" s="3" t="n"/>
      <c r="C793" s="3" t="n"/>
      <c r="D793" s="3" t="n"/>
      <c r="E793" s="3" t="n"/>
      <c r="F793" s="3" t="n"/>
      <c r="G793" s="3" t="n"/>
      <c r="H793" s="3" t="n"/>
      <c r="I793" s="3" t="n"/>
      <c r="J793" s="3" t="n"/>
      <c r="K793" s="3" t="n"/>
      <c r="L793" s="3" t="n"/>
      <c r="M793" s="3" t="n"/>
      <c r="N793" s="3" t="n"/>
    </row>
    <row r="794">
      <c r="A794" s="3" t="n"/>
      <c r="B794" s="3" t="n"/>
      <c r="C794" s="3" t="n"/>
      <c r="D794" s="3" t="n"/>
      <c r="E794" s="3" t="n"/>
      <c r="F794" s="3" t="n"/>
      <c r="G794" s="3" t="n"/>
      <c r="H794" s="3" t="n"/>
      <c r="I794" s="3" t="n"/>
      <c r="J794" s="3" t="n"/>
      <c r="K794" s="3" t="n"/>
      <c r="L794" s="3" t="n"/>
      <c r="M794" s="3" t="n"/>
      <c r="N794" s="3" t="n"/>
    </row>
    <row r="795">
      <c r="A795" s="3" t="n"/>
      <c r="B795" s="3" t="n"/>
      <c r="C795" s="3" t="n"/>
      <c r="D795" s="3" t="n"/>
      <c r="E795" s="3" t="n"/>
      <c r="F795" s="3" t="n"/>
      <c r="G795" s="3" t="n"/>
      <c r="H795" s="3" t="n"/>
      <c r="I795" s="3" t="n"/>
      <c r="J795" s="3" t="n"/>
      <c r="K795" s="3" t="n"/>
      <c r="L795" s="3" t="n"/>
      <c r="M795" s="3" t="n"/>
      <c r="N795" s="3" t="n"/>
    </row>
    <row r="796">
      <c r="A796" s="3" t="n"/>
      <c r="B796" s="3" t="n"/>
      <c r="C796" s="3" t="n"/>
      <c r="D796" s="3" t="n"/>
      <c r="E796" s="3" t="n"/>
      <c r="F796" s="3" t="n"/>
      <c r="G796" s="3" t="n"/>
      <c r="H796" s="3" t="n"/>
      <c r="I796" s="3" t="n"/>
      <c r="J796" s="3" t="n"/>
      <c r="K796" s="3" t="n"/>
      <c r="L796" s="3" t="n"/>
      <c r="M796" s="3" t="n"/>
      <c r="N796" s="3" t="n"/>
    </row>
    <row r="797">
      <c r="A797" s="3" t="n"/>
      <c r="B797" s="3" t="n"/>
      <c r="C797" s="3" t="n"/>
      <c r="D797" s="3" t="n"/>
      <c r="E797" s="3" t="n"/>
      <c r="F797" s="3" t="n"/>
      <c r="G797" s="3" t="n"/>
      <c r="H797" s="3" t="n"/>
      <c r="I797" s="3" t="n"/>
      <c r="J797" s="3" t="n"/>
      <c r="K797" s="3" t="n"/>
      <c r="L797" s="3" t="n"/>
      <c r="M797" s="3" t="n"/>
      <c r="N797" s="3" t="n"/>
    </row>
    <row r="798">
      <c r="A798" s="3" t="n"/>
      <c r="B798" s="3" t="n"/>
      <c r="C798" s="3" t="n"/>
      <c r="D798" s="3" t="n"/>
      <c r="E798" s="3" t="n"/>
      <c r="F798" s="3" t="n"/>
      <c r="G798" s="3" t="n"/>
      <c r="H798" s="3" t="n"/>
      <c r="I798" s="3" t="n"/>
      <c r="J798" s="3" t="n"/>
      <c r="K798" s="3" t="n"/>
      <c r="L798" s="3" t="n"/>
      <c r="M798" s="3" t="n"/>
      <c r="N798" s="3" t="n"/>
    </row>
    <row r="799">
      <c r="A799" s="3" t="n"/>
      <c r="B799" s="3" t="n"/>
      <c r="C799" s="3" t="n"/>
      <c r="D799" s="3" t="n"/>
      <c r="E799" s="3" t="n"/>
      <c r="F799" s="3" t="n"/>
      <c r="G799" s="3" t="n"/>
      <c r="H799" s="3" t="n"/>
      <c r="I799" s="3" t="n"/>
      <c r="J799" s="3" t="n"/>
      <c r="K799" s="3" t="n"/>
      <c r="L799" s="3" t="n"/>
      <c r="M799" s="3" t="n"/>
      <c r="N799" s="3" t="n"/>
    </row>
    <row r="800">
      <c r="A800" s="3" t="n"/>
      <c r="B800" s="3" t="n"/>
      <c r="C800" s="3" t="n"/>
      <c r="D800" s="3" t="n"/>
      <c r="E800" s="3" t="n"/>
      <c r="F800" s="3" t="n"/>
      <c r="G800" s="3" t="n"/>
      <c r="H800" s="3" t="n"/>
      <c r="I800" s="3" t="n"/>
      <c r="J800" s="3" t="n"/>
      <c r="K800" s="3" t="n"/>
      <c r="L800" s="3" t="n"/>
      <c r="M800" s="3" t="n"/>
      <c r="N800" s="3" t="n"/>
    </row>
    <row r="801">
      <c r="A801" s="3" t="n"/>
      <c r="B801" s="3" t="n"/>
      <c r="C801" s="3" t="n"/>
      <c r="D801" s="3" t="n"/>
      <c r="E801" s="3" t="n"/>
      <c r="F801" s="3" t="n"/>
      <c r="G801" s="3" t="n"/>
      <c r="H801" s="3" t="n"/>
      <c r="I801" s="3" t="n"/>
      <c r="J801" s="3" t="n"/>
      <c r="K801" s="3" t="n"/>
      <c r="L801" s="3" t="n"/>
      <c r="M801" s="3" t="n"/>
      <c r="N801" s="3" t="n"/>
    </row>
    <row r="802">
      <c r="A802" s="3" t="n"/>
      <c r="B802" s="3" t="n"/>
      <c r="C802" s="3" t="n"/>
      <c r="D802" s="3" t="n"/>
      <c r="E802" s="3" t="n"/>
      <c r="F802" s="3" t="n"/>
      <c r="G802" s="3" t="n"/>
      <c r="H802" s="3" t="n"/>
      <c r="I802" s="3" t="n"/>
      <c r="J802" s="3" t="n"/>
      <c r="K802" s="3" t="n"/>
      <c r="L802" s="3" t="n"/>
      <c r="M802" s="3" t="n"/>
      <c r="N802" s="3" t="n"/>
    </row>
    <row r="803">
      <c r="A803" s="3" t="n"/>
      <c r="B803" s="3" t="n"/>
      <c r="C803" s="3" t="n"/>
      <c r="D803" s="3" t="n"/>
      <c r="E803" s="3" t="n"/>
      <c r="F803" s="3" t="n"/>
      <c r="G803" s="3" t="n"/>
      <c r="H803" s="3" t="n"/>
      <c r="I803" s="3" t="n"/>
      <c r="J803" s="3" t="n"/>
      <c r="K803" s="3" t="n"/>
      <c r="L803" s="3" t="n"/>
      <c r="M803" s="3" t="n"/>
      <c r="N803" s="3" t="n"/>
    </row>
    <row r="804">
      <c r="A804" s="3" t="n"/>
      <c r="B804" s="3" t="n"/>
      <c r="C804" s="3" t="n"/>
      <c r="D804" s="3" t="n"/>
      <c r="E804" s="3" t="n"/>
      <c r="F804" s="3" t="n"/>
      <c r="G804" s="3" t="n"/>
      <c r="H804" s="3" t="n"/>
      <c r="I804" s="3" t="n"/>
      <c r="J804" s="3" t="n"/>
      <c r="K804" s="3" t="n"/>
      <c r="L804" s="3" t="n"/>
      <c r="M804" s="3" t="n"/>
      <c r="N804" s="3" t="n"/>
    </row>
    <row r="805">
      <c r="A805" s="3" t="n"/>
      <c r="B805" s="3" t="n"/>
      <c r="C805" s="3" t="n"/>
      <c r="D805" s="3" t="n"/>
      <c r="E805" s="3" t="n"/>
      <c r="F805" s="3" t="n"/>
      <c r="G805" s="3" t="n"/>
      <c r="H805" s="3" t="n"/>
      <c r="I805" s="3" t="n"/>
      <c r="J805" s="3" t="n"/>
      <c r="K805" s="3" t="n"/>
      <c r="L805" s="3" t="n"/>
      <c r="M805" s="3" t="n"/>
      <c r="N805" s="3" t="n"/>
    </row>
    <row r="806">
      <c r="A806" s="3" t="n"/>
      <c r="B806" s="3" t="n"/>
      <c r="C806" s="3" t="n"/>
      <c r="D806" s="3" t="n"/>
      <c r="E806" s="3" t="n"/>
      <c r="F806" s="3" t="n"/>
      <c r="G806" s="3" t="n"/>
      <c r="H806" s="3" t="n"/>
      <c r="I806" s="3" t="n"/>
      <c r="J806" s="3" t="n"/>
      <c r="K806" s="3" t="n"/>
      <c r="L806" s="3" t="n"/>
      <c r="M806" s="3" t="n"/>
      <c r="N806" s="3" t="n"/>
    </row>
    <row r="807">
      <c r="A807" s="3" t="n"/>
      <c r="B807" s="3" t="n"/>
      <c r="C807" s="3" t="n"/>
      <c r="D807" s="3" t="n"/>
      <c r="E807" s="3" t="n"/>
      <c r="F807" s="3" t="n"/>
      <c r="G807" s="3" t="n"/>
      <c r="H807" s="3" t="n"/>
      <c r="I807" s="3" t="n"/>
      <c r="J807" s="3" t="n"/>
      <c r="K807" s="3" t="n"/>
      <c r="L807" s="3" t="n"/>
      <c r="M807" s="3" t="n"/>
      <c r="N807" s="3" t="n"/>
    </row>
    <row r="808">
      <c r="A808" s="3" t="n"/>
      <c r="B808" s="3" t="n"/>
      <c r="C808" s="3" t="n"/>
      <c r="D808" s="3" t="n"/>
      <c r="E808" s="3" t="n"/>
      <c r="F808" s="3" t="n"/>
      <c r="G808" s="3" t="n"/>
      <c r="H808" s="3" t="n"/>
      <c r="I808" s="3" t="n"/>
      <c r="J808" s="3" t="n"/>
      <c r="K808" s="3" t="n"/>
      <c r="L808" s="3" t="n"/>
      <c r="M808" s="3" t="n"/>
      <c r="N808" s="3" t="n"/>
    </row>
    <row r="809">
      <c r="A809" s="3" t="n"/>
      <c r="B809" s="3" t="n"/>
      <c r="C809" s="3" t="n"/>
      <c r="D809" s="3" t="n"/>
      <c r="E809" s="3" t="n"/>
      <c r="F809" s="3" t="n"/>
      <c r="G809" s="3" t="n"/>
      <c r="H809" s="3" t="n"/>
      <c r="I809" s="3" t="n"/>
      <c r="J809" s="3" t="n"/>
      <c r="K809" s="3" t="n"/>
      <c r="L809" s="3" t="n"/>
      <c r="M809" s="3" t="n"/>
      <c r="N809" s="3" t="n"/>
    </row>
    <row r="810">
      <c r="A810" s="3" t="n"/>
      <c r="B810" s="3" t="n"/>
      <c r="C810" s="3" t="n"/>
      <c r="D810" s="3" t="n"/>
      <c r="E810" s="3" t="n"/>
      <c r="F810" s="3" t="n"/>
      <c r="G810" s="3" t="n"/>
      <c r="H810" s="3" t="n"/>
      <c r="I810" s="3" t="n"/>
      <c r="J810" s="3" t="n"/>
      <c r="K810" s="3" t="n"/>
      <c r="L810" s="3" t="n"/>
      <c r="M810" s="3" t="n"/>
      <c r="N810" s="3" t="n"/>
    </row>
    <row r="811">
      <c r="A811" s="3" t="n"/>
      <c r="B811" s="3" t="n"/>
      <c r="C811" s="3" t="n"/>
      <c r="D811" s="3" t="n"/>
      <c r="E811" s="3" t="n"/>
      <c r="F811" s="3" t="n"/>
      <c r="G811" s="3" t="n"/>
      <c r="H811" s="3" t="n"/>
      <c r="I811" s="3" t="n"/>
      <c r="J811" s="3" t="n"/>
      <c r="K811" s="3" t="n"/>
      <c r="L811" s="3" t="n"/>
      <c r="M811" s="3" t="n"/>
      <c r="N811" s="3" t="n"/>
    </row>
    <row r="812">
      <c r="A812" s="3" t="n"/>
      <c r="B812" s="3" t="n"/>
      <c r="C812" s="3" t="n"/>
      <c r="D812" s="3" t="n"/>
      <c r="E812" s="3" t="n"/>
      <c r="F812" s="3" t="n"/>
      <c r="G812" s="3" t="n"/>
      <c r="H812" s="3" t="n"/>
      <c r="I812" s="3" t="n"/>
      <c r="J812" s="3" t="n"/>
      <c r="K812" s="3" t="n"/>
      <c r="L812" s="3" t="n"/>
      <c r="M812" s="3" t="n"/>
      <c r="N812" s="3" t="n"/>
    </row>
    <row r="813">
      <c r="A813" s="3" t="n"/>
      <c r="B813" s="3" t="n"/>
      <c r="C813" s="3" t="n"/>
      <c r="D813" s="3" t="n"/>
      <c r="E813" s="3" t="n"/>
      <c r="F813" s="3" t="n"/>
      <c r="G813" s="3" t="n"/>
      <c r="H813" s="3" t="n"/>
      <c r="I813" s="3" t="n"/>
      <c r="J813" s="3" t="n"/>
      <c r="K813" s="3" t="n"/>
      <c r="L813" s="3" t="n"/>
      <c r="M813" s="3" t="n"/>
      <c r="N813" s="3" t="n"/>
    </row>
    <row r="814">
      <c r="A814" s="3" t="n"/>
      <c r="B814" s="3" t="n"/>
      <c r="C814" s="3" t="n"/>
      <c r="D814" s="3" t="n"/>
      <c r="E814" s="3" t="n"/>
      <c r="F814" s="3" t="n"/>
      <c r="G814" s="3" t="n"/>
      <c r="H814" s="3" t="n"/>
      <c r="I814" s="3" t="n"/>
      <c r="J814" s="3" t="n"/>
      <c r="K814" s="3" t="n"/>
      <c r="L814" s="3" t="n"/>
      <c r="M814" s="3" t="n"/>
      <c r="N814" s="3" t="n"/>
    </row>
    <row r="815">
      <c r="A815" s="3" t="n"/>
      <c r="B815" s="3" t="n"/>
      <c r="C815" s="3" t="n"/>
      <c r="D815" s="3" t="n"/>
      <c r="E815" s="3" t="n"/>
      <c r="F815" s="3" t="n"/>
      <c r="G815" s="3" t="n"/>
      <c r="H815" s="3" t="n"/>
      <c r="I815" s="3" t="n"/>
      <c r="J815" s="3" t="n"/>
      <c r="K815" s="3" t="n"/>
      <c r="L815" s="3" t="n"/>
      <c r="M815" s="3" t="n"/>
      <c r="N815" s="3" t="n"/>
    </row>
    <row r="816">
      <c r="A816" s="3" t="n"/>
      <c r="B816" s="3" t="n"/>
      <c r="C816" s="3" t="n"/>
      <c r="D816" s="3" t="n"/>
      <c r="E816" s="3" t="n"/>
      <c r="F816" s="3" t="n"/>
      <c r="G816" s="3" t="n"/>
      <c r="H816" s="3" t="n"/>
      <c r="I816" s="3" t="n"/>
      <c r="J816" s="3" t="n"/>
      <c r="K816" s="3" t="n"/>
      <c r="L816" s="3" t="n"/>
      <c r="M816" s="3" t="n"/>
      <c r="N816" s="3" t="n"/>
    </row>
    <row r="817">
      <c r="A817" s="3" t="n"/>
      <c r="B817" s="3" t="n"/>
      <c r="C817" s="3" t="n"/>
      <c r="D817" s="3" t="n"/>
      <c r="E817" s="3" t="n"/>
      <c r="F817" s="3" t="n"/>
      <c r="G817" s="3" t="n"/>
      <c r="H817" s="3" t="n"/>
      <c r="I817" s="3" t="n"/>
      <c r="J817" s="3" t="n"/>
      <c r="K817" s="3" t="n"/>
      <c r="L817" s="3" t="n"/>
      <c r="M817" s="3" t="n"/>
      <c r="N817" s="3" t="n"/>
    </row>
    <row r="818">
      <c r="A818" s="3" t="n"/>
      <c r="B818" s="3" t="n"/>
      <c r="C818" s="3" t="n"/>
      <c r="D818" s="3" t="n"/>
      <c r="E818" s="3" t="n"/>
      <c r="F818" s="3" t="n"/>
      <c r="G818" s="3" t="n"/>
      <c r="H818" s="3" t="n"/>
      <c r="I818" s="3" t="n"/>
      <c r="J818" s="3" t="n"/>
      <c r="K818" s="3" t="n"/>
      <c r="L818" s="3" t="n"/>
      <c r="M818" s="3" t="n"/>
      <c r="N818" s="3" t="n"/>
    </row>
    <row r="819">
      <c r="A819" s="3" t="n"/>
      <c r="B819" s="3" t="n"/>
      <c r="C819" s="3" t="n"/>
      <c r="D819" s="3" t="n"/>
      <c r="E819" s="3" t="n"/>
      <c r="F819" s="3" t="n"/>
      <c r="G819" s="3" t="n"/>
      <c r="H819" s="3" t="n"/>
      <c r="I819" s="3" t="n"/>
      <c r="J819" s="3" t="n"/>
      <c r="K819" s="3" t="n"/>
      <c r="L819" s="3" t="n"/>
      <c r="M819" s="3" t="n"/>
      <c r="N819" s="3" t="n"/>
    </row>
    <row r="820">
      <c r="A820" s="3" t="n"/>
      <c r="B820" s="3" t="n"/>
      <c r="C820" s="3" t="n"/>
      <c r="D820" s="3" t="n"/>
      <c r="E820" s="3" t="n"/>
      <c r="F820" s="3" t="n"/>
      <c r="G820" s="3" t="n"/>
      <c r="H820" s="3" t="n"/>
      <c r="I820" s="3" t="n"/>
      <c r="J820" s="3" t="n"/>
      <c r="K820" s="3" t="n"/>
      <c r="L820" s="3" t="n"/>
      <c r="M820" s="3" t="n"/>
      <c r="N820" s="3" t="n"/>
    </row>
    <row r="821">
      <c r="A821" s="3" t="n"/>
      <c r="B821" s="3" t="n"/>
      <c r="C821" s="3" t="n"/>
      <c r="D821" s="3" t="n"/>
      <c r="E821" s="3" t="n"/>
      <c r="F821" s="3" t="n"/>
      <c r="G821" s="3" t="n"/>
      <c r="H821" s="3" t="n"/>
      <c r="I821" s="3" t="n"/>
      <c r="J821" s="3" t="n"/>
      <c r="K821" s="3" t="n"/>
      <c r="L821" s="3" t="n"/>
      <c r="M821" s="3" t="n"/>
      <c r="N821" s="3" t="n"/>
    </row>
    <row r="822">
      <c r="A822" s="3" t="n"/>
      <c r="B822" s="3" t="n"/>
      <c r="C822" s="3" t="n"/>
      <c r="D822" s="3" t="n"/>
      <c r="E822" s="3" t="n"/>
      <c r="F822" s="3" t="n"/>
      <c r="G822" s="3" t="n"/>
      <c r="H822" s="3" t="n"/>
      <c r="I822" s="3" t="n"/>
      <c r="J822" s="3" t="n"/>
      <c r="K822" s="3" t="n"/>
      <c r="L822" s="3" t="n"/>
      <c r="M822" s="3" t="n"/>
      <c r="N822" s="3" t="n"/>
    </row>
    <row r="823">
      <c r="A823" s="3" t="n"/>
      <c r="B823" s="3" t="n"/>
      <c r="C823" s="3" t="n"/>
      <c r="D823" s="3" t="n"/>
      <c r="E823" s="3" t="n"/>
      <c r="F823" s="3" t="n"/>
      <c r="G823" s="3" t="n"/>
      <c r="H823" s="3" t="n"/>
      <c r="I823" s="3" t="n"/>
      <c r="J823" s="3" t="n"/>
      <c r="K823" s="3" t="n"/>
      <c r="L823" s="3" t="n"/>
      <c r="M823" s="3" t="n"/>
      <c r="N823" s="3" t="n"/>
    </row>
    <row r="824">
      <c r="A824" s="3" t="n"/>
      <c r="B824" s="3" t="n"/>
      <c r="C824" s="3" t="n"/>
      <c r="D824" s="3" t="n"/>
      <c r="E824" s="3" t="n"/>
      <c r="F824" s="3" t="n"/>
      <c r="G824" s="3" t="n"/>
      <c r="H824" s="3" t="n"/>
      <c r="I824" s="3" t="n"/>
      <c r="J824" s="3" t="n"/>
      <c r="K824" s="3" t="n"/>
      <c r="L824" s="3" t="n"/>
      <c r="M824" s="3" t="n"/>
      <c r="N824" s="3" t="n"/>
    </row>
    <row r="825">
      <c r="A825" s="3" t="n"/>
      <c r="B825" s="3" t="n"/>
      <c r="C825" s="3" t="n"/>
      <c r="D825" s="3" t="n"/>
      <c r="E825" s="3" t="n"/>
      <c r="F825" s="3" t="n"/>
      <c r="G825" s="3" t="n"/>
      <c r="H825" s="3" t="n"/>
      <c r="I825" s="3" t="n"/>
      <c r="J825" s="3" t="n"/>
      <c r="K825" s="3" t="n"/>
      <c r="L825" s="3" t="n"/>
      <c r="M825" s="3" t="n"/>
      <c r="N825" s="3" t="n"/>
    </row>
    <row r="826">
      <c r="A826" s="3" t="n"/>
      <c r="B826" s="3" t="n"/>
      <c r="C826" s="3" t="n"/>
      <c r="D826" s="3" t="n"/>
      <c r="E826" s="3" t="n"/>
      <c r="F826" s="3" t="n"/>
      <c r="G826" s="3" t="n"/>
      <c r="H826" s="3" t="n"/>
      <c r="I826" s="3" t="n"/>
      <c r="J826" s="3" t="n"/>
      <c r="K826" s="3" t="n"/>
      <c r="L826" s="3" t="n"/>
      <c r="M826" s="3" t="n"/>
      <c r="N826" s="3" t="n"/>
    </row>
    <row r="827">
      <c r="A827" s="3" t="n"/>
      <c r="B827" s="3" t="n"/>
      <c r="C827" s="3" t="n"/>
      <c r="D827" s="3" t="n"/>
      <c r="E827" s="3" t="n"/>
      <c r="F827" s="3" t="n"/>
      <c r="G827" s="3" t="n"/>
      <c r="H827" s="3" t="n"/>
      <c r="I827" s="3" t="n"/>
      <c r="J827" s="3" t="n"/>
      <c r="K827" s="3" t="n"/>
      <c r="L827" s="3" t="n"/>
      <c r="M827" s="3" t="n"/>
      <c r="N827" s="3" t="n"/>
    </row>
    <row r="828">
      <c r="A828" s="3" t="n"/>
      <c r="B828" s="3" t="n"/>
      <c r="C828" s="3" t="n"/>
      <c r="D828" s="3" t="n"/>
      <c r="E828" s="3" t="n"/>
      <c r="F828" s="3" t="n"/>
      <c r="G828" s="3" t="n"/>
      <c r="H828" s="3" t="n"/>
      <c r="I828" s="3" t="n"/>
      <c r="J828" s="3" t="n"/>
      <c r="K828" s="3" t="n"/>
      <c r="L828" s="3" t="n"/>
      <c r="M828" s="3" t="n"/>
      <c r="N828" s="3" t="n"/>
    </row>
    <row r="829">
      <c r="A829" s="3" t="n"/>
      <c r="B829" s="3" t="n"/>
      <c r="C829" s="3" t="n"/>
      <c r="D829" s="3" t="n"/>
      <c r="E829" s="3" t="n"/>
      <c r="F829" s="3" t="n"/>
      <c r="G829" s="3" t="n"/>
      <c r="H829" s="3" t="n"/>
      <c r="I829" s="3" t="n"/>
      <c r="J829" s="3" t="n"/>
      <c r="K829" s="3" t="n"/>
      <c r="L829" s="3" t="n"/>
      <c r="M829" s="3" t="n"/>
      <c r="N829" s="3" t="n"/>
    </row>
    <row r="830">
      <c r="A830" s="3" t="n"/>
      <c r="B830" s="3" t="n"/>
      <c r="C830" s="3" t="n"/>
      <c r="D830" s="3" t="n"/>
      <c r="E830" s="3" t="n"/>
      <c r="F830" s="3" t="n"/>
      <c r="G830" s="3" t="n"/>
      <c r="H830" s="3" t="n"/>
      <c r="I830" s="3" t="n"/>
      <c r="J830" s="3" t="n"/>
      <c r="K830" s="3" t="n"/>
      <c r="L830" s="3" t="n"/>
      <c r="M830" s="3" t="n"/>
      <c r="N830" s="3" t="n"/>
    </row>
    <row r="831">
      <c r="A831" s="3" t="n"/>
      <c r="B831" s="3" t="n"/>
      <c r="C831" s="3" t="n"/>
      <c r="D831" s="3" t="n"/>
      <c r="E831" s="3" t="n"/>
      <c r="F831" s="3" t="n"/>
      <c r="G831" s="3" t="n"/>
      <c r="H831" s="3" t="n"/>
      <c r="I831" s="3" t="n"/>
      <c r="J831" s="3" t="n"/>
      <c r="K831" s="3" t="n"/>
      <c r="L831" s="3" t="n"/>
      <c r="M831" s="3" t="n"/>
      <c r="N831" s="3" t="n"/>
    </row>
    <row r="832">
      <c r="A832" s="3" t="n"/>
      <c r="B832" s="3" t="n"/>
      <c r="C832" s="3" t="n"/>
      <c r="D832" s="3" t="n"/>
      <c r="E832" s="3" t="n"/>
      <c r="F832" s="3" t="n"/>
      <c r="G832" s="3" t="n"/>
      <c r="H832" s="3" t="n"/>
      <c r="I832" s="3" t="n"/>
      <c r="J832" s="3" t="n"/>
      <c r="K832" s="3" t="n"/>
      <c r="L832" s="3" t="n"/>
      <c r="M832" s="3" t="n"/>
      <c r="N832" s="3" t="n"/>
    </row>
    <row r="833">
      <c r="A833" s="3" t="n"/>
      <c r="B833" s="3" t="n"/>
      <c r="C833" s="3" t="n"/>
      <c r="D833" s="3" t="n"/>
      <c r="E833" s="3" t="n"/>
      <c r="F833" s="3" t="n"/>
      <c r="G833" s="3" t="n"/>
      <c r="H833" s="3" t="n"/>
      <c r="I833" s="3" t="n"/>
      <c r="J833" s="3" t="n"/>
      <c r="K833" s="3" t="n"/>
      <c r="L833" s="3" t="n"/>
      <c r="M833" s="3" t="n"/>
      <c r="N833" s="3" t="n"/>
    </row>
    <row r="834">
      <c r="A834" s="3" t="n"/>
      <c r="B834" s="3" t="n"/>
      <c r="C834" s="3" t="n"/>
      <c r="D834" s="3" t="n"/>
      <c r="E834" s="3" t="n"/>
      <c r="F834" s="3" t="n"/>
      <c r="G834" s="3" t="n"/>
      <c r="H834" s="3" t="n"/>
      <c r="I834" s="3" t="n"/>
      <c r="J834" s="3" t="n"/>
      <c r="K834" s="3" t="n"/>
      <c r="L834" s="3" t="n"/>
      <c r="M834" s="3" t="n"/>
      <c r="N834" s="3" t="n"/>
    </row>
    <row r="835">
      <c r="A835" s="3" t="n"/>
      <c r="B835" s="3" t="n"/>
      <c r="C835" s="3" t="n"/>
      <c r="D835" s="3" t="n"/>
      <c r="E835" s="3" t="n"/>
      <c r="F835" s="3" t="n"/>
      <c r="G835" s="3" t="n"/>
      <c r="H835" s="3" t="n"/>
      <c r="I835" s="3" t="n"/>
      <c r="J835" s="3" t="n"/>
      <c r="K835" s="3" t="n"/>
      <c r="L835" s="3" t="n"/>
      <c r="M835" s="3" t="n"/>
      <c r="N835" s="3" t="n"/>
    </row>
    <row r="836">
      <c r="A836" s="3" t="n"/>
      <c r="B836" s="3" t="n"/>
      <c r="C836" s="3" t="n"/>
      <c r="D836" s="3" t="n"/>
      <c r="E836" s="3" t="n"/>
      <c r="F836" s="3" t="n"/>
      <c r="G836" s="3" t="n"/>
      <c r="H836" s="3" t="n"/>
      <c r="I836" s="3" t="n"/>
      <c r="J836" s="3" t="n"/>
      <c r="K836" s="3" t="n"/>
      <c r="L836" s="3" t="n"/>
      <c r="M836" s="3" t="n"/>
      <c r="N836" s="3" t="n"/>
    </row>
    <row r="837">
      <c r="A837" s="3" t="n"/>
      <c r="B837" s="3" t="n"/>
      <c r="C837" s="3" t="n"/>
      <c r="D837" s="3" t="n"/>
      <c r="E837" s="3" t="n"/>
      <c r="F837" s="3" t="n"/>
      <c r="G837" s="3" t="n"/>
      <c r="H837" s="3" t="n"/>
      <c r="I837" s="3" t="n"/>
      <c r="J837" s="3" t="n"/>
      <c r="K837" s="3" t="n"/>
      <c r="L837" s="3" t="n"/>
      <c r="M837" s="3" t="n"/>
      <c r="N837" s="3" t="n"/>
    </row>
    <row r="838">
      <c r="A838" s="3" t="n"/>
      <c r="B838" s="3" t="n"/>
      <c r="C838" s="3" t="n"/>
      <c r="D838" s="3" t="n"/>
      <c r="E838" s="3" t="n"/>
      <c r="F838" s="3" t="n"/>
      <c r="G838" s="3" t="n"/>
      <c r="H838" s="3" t="n"/>
      <c r="I838" s="3" t="n"/>
      <c r="J838" s="3" t="n"/>
      <c r="K838" s="3" t="n"/>
      <c r="L838" s="3" t="n"/>
      <c r="M838" s="3" t="n"/>
      <c r="N838" s="3" t="n"/>
    </row>
    <row r="839">
      <c r="A839" s="3" t="n"/>
      <c r="B839" s="3" t="n"/>
      <c r="C839" s="3" t="n"/>
      <c r="D839" s="3" t="n"/>
      <c r="E839" s="3" t="n"/>
      <c r="F839" s="3" t="n"/>
      <c r="G839" s="3" t="n"/>
      <c r="H839" s="3" t="n"/>
      <c r="I839" s="3" t="n"/>
      <c r="J839" s="3" t="n"/>
      <c r="K839" s="3" t="n"/>
      <c r="L839" s="3" t="n"/>
      <c r="M839" s="3" t="n"/>
      <c r="N839" s="3" t="n"/>
    </row>
    <row r="840">
      <c r="A840" s="3" t="n"/>
      <c r="B840" s="3" t="n"/>
      <c r="C840" s="3" t="n"/>
      <c r="D840" s="3" t="n"/>
      <c r="E840" s="3" t="n"/>
      <c r="F840" s="3" t="n"/>
      <c r="G840" s="3" t="n"/>
      <c r="H840" s="3" t="n"/>
      <c r="I840" s="3" t="n"/>
      <c r="J840" s="3" t="n"/>
      <c r="K840" s="3" t="n"/>
      <c r="L840" s="3" t="n"/>
      <c r="M840" s="3" t="n"/>
      <c r="N840" s="3" t="n"/>
    </row>
    <row r="841">
      <c r="A841" s="3" t="n"/>
      <c r="B841" s="3" t="n"/>
      <c r="C841" s="3" t="n"/>
      <c r="D841" s="3" t="n"/>
      <c r="E841" s="3" t="n"/>
      <c r="F841" s="3" t="n"/>
      <c r="G841" s="3" t="n"/>
      <c r="H841" s="3" t="n"/>
      <c r="I841" s="3" t="n"/>
      <c r="J841" s="3" t="n"/>
      <c r="K841" s="3" t="n"/>
      <c r="L841" s="3" t="n"/>
      <c r="M841" s="3" t="n"/>
      <c r="N841" s="3" t="n"/>
    </row>
    <row r="842">
      <c r="A842" s="3" t="n"/>
      <c r="B842" s="3" t="n"/>
      <c r="C842" s="3" t="n"/>
      <c r="D842" s="3" t="n"/>
      <c r="E842" s="3" t="n"/>
      <c r="F842" s="3" t="n"/>
      <c r="G842" s="3" t="n"/>
      <c r="H842" s="3" t="n"/>
      <c r="I842" s="3" t="n"/>
      <c r="J842" s="3" t="n"/>
      <c r="K842" s="3" t="n"/>
      <c r="L842" s="3" t="n"/>
      <c r="M842" s="3" t="n"/>
      <c r="N842" s="3" t="n"/>
    </row>
    <row r="843">
      <c r="A843" s="3" t="n"/>
      <c r="B843" s="3" t="n"/>
      <c r="C843" s="3" t="n"/>
      <c r="D843" s="3" t="n"/>
      <c r="E843" s="3" t="n"/>
      <c r="F843" s="3" t="n"/>
      <c r="G843" s="3" t="n"/>
      <c r="H843" s="3" t="n"/>
      <c r="I843" s="3" t="n"/>
      <c r="J843" s="3" t="n"/>
      <c r="K843" s="3" t="n"/>
      <c r="L843" s="3" t="n"/>
      <c r="M843" s="3" t="n"/>
      <c r="N843" s="3" t="n"/>
    </row>
    <row r="844">
      <c r="A844" s="3" t="n"/>
      <c r="B844" s="3" t="n"/>
      <c r="C844" s="3" t="n"/>
      <c r="D844" s="3" t="n"/>
      <c r="E844" s="3" t="n"/>
      <c r="F844" s="3" t="n"/>
      <c r="G844" s="3" t="n"/>
      <c r="H844" s="3" t="n"/>
      <c r="I844" s="3" t="n"/>
      <c r="J844" s="3" t="n"/>
      <c r="K844" s="3" t="n"/>
      <c r="L844" s="3" t="n"/>
      <c r="M844" s="3" t="n"/>
      <c r="N844" s="3" t="n"/>
    </row>
    <row r="845">
      <c r="A845" s="3" t="n"/>
      <c r="B845" s="3" t="n"/>
      <c r="C845" s="3" t="n"/>
      <c r="D845" s="3" t="n"/>
      <c r="E845" s="3" t="n"/>
      <c r="F845" s="3" t="n"/>
      <c r="G845" s="3" t="n"/>
      <c r="H845" s="3" t="n"/>
      <c r="I845" s="3" t="n"/>
      <c r="J845" s="3" t="n"/>
      <c r="K845" s="3" t="n"/>
      <c r="L845" s="3" t="n"/>
      <c r="M845" s="3" t="n"/>
      <c r="N845" s="3" t="n"/>
    </row>
    <row r="846">
      <c r="A846" s="3" t="n"/>
      <c r="B846" s="3" t="n"/>
      <c r="C846" s="3" t="n"/>
      <c r="D846" s="3" t="n"/>
      <c r="E846" s="3" t="n"/>
      <c r="F846" s="3" t="n"/>
      <c r="G846" s="3" t="n"/>
      <c r="H846" s="3" t="n"/>
      <c r="I846" s="3" t="n"/>
      <c r="J846" s="3" t="n"/>
      <c r="K846" s="3" t="n"/>
      <c r="L846" s="3" t="n"/>
      <c r="M846" s="3" t="n"/>
      <c r="N846" s="3" t="n"/>
    </row>
    <row r="847">
      <c r="A847" s="3" t="n"/>
      <c r="B847" s="3" t="n"/>
      <c r="C847" s="3" t="n"/>
      <c r="D847" s="3" t="n"/>
      <c r="E847" s="3" t="n"/>
      <c r="F847" s="3" t="n"/>
      <c r="G847" s="3" t="n"/>
      <c r="H847" s="3" t="n"/>
      <c r="I847" s="3" t="n"/>
      <c r="J847" s="3" t="n"/>
      <c r="K847" s="3" t="n"/>
      <c r="L847" s="3" t="n"/>
      <c r="M847" s="3" t="n"/>
      <c r="N847" s="3" t="n"/>
    </row>
    <row r="848">
      <c r="A848" s="3" t="n"/>
      <c r="B848" s="3" t="n"/>
      <c r="C848" s="3" t="n"/>
      <c r="D848" s="3" t="n"/>
      <c r="E848" s="3" t="n"/>
      <c r="F848" s="3" t="n"/>
      <c r="G848" s="3" t="n"/>
      <c r="H848" s="3" t="n"/>
      <c r="I848" s="3" t="n"/>
      <c r="J848" s="3" t="n"/>
      <c r="K848" s="3" t="n"/>
      <c r="L848" s="3" t="n"/>
      <c r="M848" s="3" t="n"/>
      <c r="N848" s="3" t="n"/>
    </row>
    <row r="849">
      <c r="A849" s="3" t="n"/>
      <c r="B849" s="3" t="n"/>
      <c r="C849" s="3" t="n"/>
      <c r="D849" s="3" t="n"/>
      <c r="E849" s="3" t="n"/>
      <c r="F849" s="3" t="n"/>
      <c r="G849" s="3" t="n"/>
      <c r="H849" s="3" t="n"/>
      <c r="I849" s="3" t="n"/>
      <c r="J849" s="3" t="n"/>
      <c r="K849" s="3" t="n"/>
      <c r="L849" s="3" t="n"/>
      <c r="M849" s="3" t="n"/>
      <c r="N849" s="3" t="n"/>
    </row>
    <row r="850">
      <c r="A850" s="3" t="n"/>
      <c r="B850" s="3" t="n"/>
      <c r="C850" s="3" t="n"/>
      <c r="D850" s="3" t="n"/>
      <c r="E850" s="3" t="n"/>
      <c r="F850" s="3" t="n"/>
      <c r="G850" s="3" t="n"/>
      <c r="H850" s="3" t="n"/>
      <c r="I850" s="3" t="n"/>
      <c r="J850" s="3" t="n"/>
      <c r="K850" s="3" t="n"/>
      <c r="L850" s="3" t="n"/>
      <c r="M850" s="3" t="n"/>
      <c r="N850" s="3" t="n"/>
    </row>
    <row r="851">
      <c r="A851" s="3" t="n"/>
      <c r="B851" s="3" t="n"/>
      <c r="C851" s="3" t="n"/>
      <c r="D851" s="3" t="n"/>
      <c r="E851" s="3" t="n"/>
      <c r="F851" s="3" t="n"/>
      <c r="G851" s="3" t="n"/>
      <c r="H851" s="3" t="n"/>
      <c r="I851" s="3" t="n"/>
      <c r="J851" s="3" t="n"/>
      <c r="K851" s="3" t="n"/>
      <c r="L851" s="3" t="n"/>
      <c r="M851" s="3" t="n"/>
      <c r="N851" s="3" t="n"/>
    </row>
    <row r="852">
      <c r="A852" s="3" t="n"/>
      <c r="B852" s="3" t="n"/>
      <c r="C852" s="3" t="n"/>
      <c r="D852" s="3" t="n"/>
      <c r="E852" s="3" t="n"/>
      <c r="F852" s="3" t="n"/>
      <c r="G852" s="3" t="n"/>
      <c r="H852" s="3" t="n"/>
      <c r="I852" s="3" t="n"/>
      <c r="J852" s="3" t="n"/>
      <c r="K852" s="3" t="n"/>
      <c r="L852" s="3" t="n"/>
      <c r="M852" s="3" t="n"/>
      <c r="N852" s="3" t="n"/>
    </row>
    <row r="853">
      <c r="A853" s="3" t="n"/>
      <c r="B853" s="3" t="n"/>
      <c r="C853" s="3" t="n"/>
      <c r="D853" s="3" t="n"/>
      <c r="E853" s="3" t="n"/>
      <c r="F853" s="3" t="n"/>
      <c r="G853" s="3" t="n"/>
      <c r="H853" s="3" t="n"/>
      <c r="I853" s="3" t="n"/>
      <c r="J853" s="3" t="n"/>
      <c r="K853" s="3" t="n"/>
      <c r="L853" s="3" t="n"/>
      <c r="M853" s="3" t="n"/>
      <c r="N853" s="3" t="n"/>
    </row>
    <row r="854">
      <c r="A854" s="3" t="n"/>
      <c r="B854" s="3" t="n"/>
      <c r="C854" s="3" t="n"/>
      <c r="D854" s="3" t="n"/>
      <c r="E854" s="3" t="n"/>
      <c r="F854" s="3" t="n"/>
      <c r="G854" s="3" t="n"/>
      <c r="H854" s="3" t="n"/>
      <c r="I854" s="3" t="n"/>
      <c r="J854" s="3" t="n"/>
      <c r="K854" s="3" t="n"/>
      <c r="L854" s="3" t="n"/>
      <c r="M854" s="3" t="n"/>
      <c r="N854" s="3" t="n"/>
    </row>
    <row r="855">
      <c r="A855" s="3" t="n"/>
      <c r="B855" s="3" t="n"/>
      <c r="C855" s="3" t="n"/>
      <c r="D855" s="3" t="n"/>
      <c r="E855" s="3" t="n"/>
      <c r="F855" s="3" t="n"/>
      <c r="G855" s="3" t="n"/>
      <c r="H855" s="3" t="n"/>
      <c r="I855" s="3" t="n"/>
      <c r="J855" s="3" t="n"/>
      <c r="K855" s="3" t="n"/>
      <c r="L855" s="3" t="n"/>
      <c r="M855" s="3" t="n"/>
      <c r="N855" s="3" t="n"/>
    </row>
    <row r="856">
      <c r="A856" s="3" t="n"/>
      <c r="B856" s="3" t="n"/>
      <c r="C856" s="3" t="n"/>
      <c r="D856" s="3" t="n"/>
      <c r="E856" s="3" t="n"/>
      <c r="F856" s="3" t="n"/>
      <c r="G856" s="3" t="n"/>
      <c r="H856" s="3" t="n"/>
      <c r="I856" s="3" t="n"/>
      <c r="J856" s="3" t="n"/>
      <c r="K856" s="3" t="n"/>
      <c r="L856" s="3" t="n"/>
      <c r="M856" s="3" t="n"/>
      <c r="N856" s="3" t="n"/>
    </row>
    <row r="857">
      <c r="A857" s="3" t="n"/>
      <c r="B857" s="3" t="n"/>
      <c r="C857" s="3" t="n"/>
      <c r="D857" s="3" t="n"/>
      <c r="E857" s="3" t="n"/>
      <c r="F857" s="3" t="n"/>
      <c r="G857" s="3" t="n"/>
      <c r="H857" s="3" t="n"/>
      <c r="I857" s="3" t="n"/>
      <c r="J857" s="3" t="n"/>
      <c r="K857" s="3" t="n"/>
      <c r="L857" s="3" t="n"/>
      <c r="M857" s="3" t="n"/>
      <c r="N857" s="3" t="n"/>
    </row>
    <row r="858">
      <c r="A858" s="3" t="n"/>
      <c r="B858" s="3" t="n"/>
      <c r="C858" s="3" t="n"/>
      <c r="D858" s="3" t="n"/>
      <c r="E858" s="3" t="n"/>
      <c r="F858" s="3" t="n"/>
      <c r="G858" s="3" t="n"/>
      <c r="H858" s="3" t="n"/>
      <c r="I858" s="3" t="n"/>
      <c r="J858" s="3" t="n"/>
      <c r="K858" s="3" t="n"/>
      <c r="L858" s="3" t="n"/>
      <c r="M858" s="3" t="n"/>
      <c r="N858" s="3" t="n"/>
    </row>
    <row r="859">
      <c r="A859" s="3" t="n"/>
      <c r="B859" s="3" t="n"/>
      <c r="C859" s="3" t="n"/>
      <c r="D859" s="3" t="n"/>
      <c r="E859" s="3" t="n"/>
      <c r="F859" s="3" t="n"/>
      <c r="G859" s="3" t="n"/>
      <c r="H859" s="3" t="n"/>
      <c r="I859" s="3" t="n"/>
      <c r="J859" s="3" t="n"/>
      <c r="K859" s="3" t="n"/>
      <c r="L859" s="3" t="n"/>
      <c r="M859" s="3" t="n"/>
      <c r="N859" s="3" t="n"/>
    </row>
    <row r="860">
      <c r="A860" s="3" t="n"/>
      <c r="B860" s="3" t="n"/>
      <c r="C860" s="3" t="n"/>
      <c r="D860" s="3" t="n"/>
      <c r="E860" s="3" t="n"/>
      <c r="F860" s="3" t="n"/>
      <c r="G860" s="3" t="n"/>
      <c r="H860" s="3" t="n"/>
      <c r="I860" s="3" t="n"/>
      <c r="J860" s="3" t="n"/>
      <c r="K860" s="3" t="n"/>
      <c r="L860" s="3" t="n"/>
      <c r="M860" s="3" t="n"/>
      <c r="N860" s="3" t="n"/>
    </row>
    <row r="861">
      <c r="A861" s="3" t="n"/>
      <c r="B861" s="3" t="n"/>
      <c r="C861" s="3" t="n"/>
      <c r="D861" s="3" t="n"/>
      <c r="E861" s="3" t="n"/>
      <c r="F861" s="3" t="n"/>
      <c r="G861" s="3" t="n"/>
      <c r="H861" s="3" t="n"/>
      <c r="I861" s="3" t="n"/>
      <c r="J861" s="3" t="n"/>
      <c r="K861" s="3" t="n"/>
      <c r="L861" s="3" t="n"/>
      <c r="M861" s="3" t="n"/>
      <c r="N861" s="3" t="n"/>
    </row>
    <row r="862">
      <c r="A862" s="3" t="n"/>
      <c r="B862" s="3" t="n"/>
      <c r="C862" s="3" t="n"/>
      <c r="D862" s="3" t="n"/>
      <c r="E862" s="3" t="n"/>
      <c r="F862" s="3" t="n"/>
      <c r="G862" s="3" t="n"/>
      <c r="H862" s="3" t="n"/>
      <c r="I862" s="3" t="n"/>
      <c r="J862" s="3" t="n"/>
      <c r="K862" s="3" t="n"/>
      <c r="L862" s="3" t="n"/>
      <c r="M862" s="3" t="n"/>
      <c r="N862" s="3" t="n"/>
    </row>
    <row r="863">
      <c r="A863" s="3" t="n"/>
      <c r="B863" s="3" t="n"/>
      <c r="C863" s="3" t="n"/>
      <c r="D863" s="3" t="n"/>
      <c r="E863" s="3" t="n"/>
      <c r="F863" s="3" t="n"/>
      <c r="G863" s="3" t="n"/>
      <c r="H863" s="3" t="n"/>
      <c r="I863" s="3" t="n"/>
      <c r="J863" s="3" t="n"/>
      <c r="K863" s="3" t="n"/>
      <c r="L863" s="3" t="n"/>
      <c r="M863" s="3" t="n"/>
      <c r="N863" s="3" t="n"/>
    </row>
    <row r="864">
      <c r="A864" s="3" t="n"/>
      <c r="B864" s="3" t="n"/>
      <c r="C864" s="3" t="n"/>
      <c r="D864" s="3" t="n"/>
      <c r="E864" s="3" t="n"/>
      <c r="F864" s="3" t="n"/>
      <c r="G864" s="3" t="n"/>
      <c r="H864" s="3" t="n"/>
      <c r="I864" s="3" t="n"/>
      <c r="J864" s="3" t="n"/>
      <c r="K864" s="3" t="n"/>
      <c r="L864" s="3" t="n"/>
      <c r="M864" s="3" t="n"/>
      <c r="N864" s="3" t="n"/>
    </row>
    <row r="865">
      <c r="A865" s="3" t="n"/>
      <c r="B865" s="3" t="n"/>
      <c r="C865" s="3" t="n"/>
      <c r="D865" s="3" t="n"/>
      <c r="E865" s="3" t="n"/>
      <c r="F865" s="3" t="n"/>
      <c r="G865" s="3" t="n"/>
      <c r="H865" s="3" t="n"/>
      <c r="I865" s="3" t="n"/>
      <c r="J865" s="3" t="n"/>
      <c r="K865" s="3" t="n"/>
      <c r="L865" s="3" t="n"/>
      <c r="M865" s="3" t="n"/>
      <c r="N865" s="3" t="n"/>
    </row>
    <row r="866">
      <c r="A866" s="3" t="n"/>
      <c r="B866" s="3" t="n"/>
      <c r="C866" s="3" t="n"/>
      <c r="D866" s="3" t="n"/>
      <c r="E866" s="3" t="n"/>
      <c r="F866" s="3" t="n"/>
      <c r="G866" s="3" t="n"/>
      <c r="H866" s="3" t="n"/>
      <c r="I866" s="3" t="n"/>
      <c r="J866" s="3" t="n"/>
      <c r="K866" s="3" t="n"/>
      <c r="L866" s="3" t="n"/>
      <c r="M866" s="3" t="n"/>
      <c r="N866" s="3" t="n"/>
    </row>
    <row r="867">
      <c r="A867" s="3" t="n"/>
      <c r="B867" s="3" t="n"/>
      <c r="C867" s="3" t="n"/>
      <c r="D867" s="3" t="n"/>
      <c r="E867" s="3" t="n"/>
      <c r="F867" s="3" t="n"/>
      <c r="G867" s="3" t="n"/>
      <c r="H867" s="3" t="n"/>
      <c r="I867" s="3" t="n"/>
      <c r="J867" s="3" t="n"/>
      <c r="K867" s="3" t="n"/>
      <c r="L867" s="3" t="n"/>
      <c r="M867" s="3" t="n"/>
      <c r="N867" s="3" t="n"/>
    </row>
    <row r="868">
      <c r="A868" s="3" t="n"/>
      <c r="B868" s="3" t="n"/>
      <c r="C868" s="3" t="n"/>
      <c r="D868" s="3" t="n"/>
      <c r="E868" s="3" t="n"/>
      <c r="F868" s="3" t="n"/>
      <c r="G868" s="3" t="n"/>
      <c r="H868" s="3" t="n"/>
      <c r="I868" s="3" t="n"/>
      <c r="J868" s="3" t="n"/>
      <c r="K868" s="3" t="n"/>
      <c r="L868" s="3" t="n"/>
      <c r="M868" s="3" t="n"/>
      <c r="N868" s="3" t="n"/>
    </row>
    <row r="869">
      <c r="A869" s="3" t="n"/>
      <c r="B869" s="3" t="n"/>
      <c r="C869" s="3" t="n"/>
      <c r="D869" s="3" t="n"/>
      <c r="E869" s="3" t="n"/>
      <c r="F869" s="3" t="n"/>
      <c r="G869" s="3" t="n"/>
      <c r="H869" s="3" t="n"/>
      <c r="I869" s="3" t="n"/>
      <c r="J869" s="3" t="n"/>
      <c r="K869" s="3" t="n"/>
      <c r="L869" s="3" t="n"/>
      <c r="M869" s="3" t="n"/>
      <c r="N869" s="3" t="n"/>
    </row>
    <row r="870">
      <c r="A870" s="3" t="n"/>
      <c r="B870" s="3" t="n"/>
      <c r="C870" s="3" t="n"/>
      <c r="D870" s="3" t="n"/>
      <c r="E870" s="3" t="n"/>
      <c r="F870" s="3" t="n"/>
      <c r="G870" s="3" t="n"/>
      <c r="H870" s="3" t="n"/>
      <c r="I870" s="3" t="n"/>
      <c r="J870" s="3" t="n"/>
      <c r="K870" s="3" t="n"/>
      <c r="L870" s="3" t="n"/>
      <c r="M870" s="3" t="n"/>
      <c r="N870" s="3" t="n"/>
    </row>
    <row r="871">
      <c r="A871" s="3" t="n"/>
      <c r="B871" s="3" t="n"/>
      <c r="C871" s="3" t="n"/>
      <c r="D871" s="3" t="n"/>
      <c r="E871" s="3" t="n"/>
      <c r="F871" s="3" t="n"/>
      <c r="G871" s="3" t="n"/>
      <c r="H871" s="3" t="n"/>
      <c r="I871" s="3" t="n"/>
      <c r="J871" s="3" t="n"/>
      <c r="K871" s="3" t="n"/>
      <c r="L871" s="3" t="n"/>
      <c r="M871" s="3" t="n"/>
      <c r="N871" s="3" t="n"/>
    </row>
    <row r="872">
      <c r="A872" s="3" t="n"/>
      <c r="B872" s="3" t="n"/>
      <c r="C872" s="3" t="n"/>
      <c r="D872" s="3" t="n"/>
      <c r="E872" s="3" t="n"/>
      <c r="F872" s="3" t="n"/>
      <c r="G872" s="3" t="n"/>
      <c r="H872" s="3" t="n"/>
      <c r="I872" s="3" t="n"/>
      <c r="J872" s="3" t="n"/>
      <c r="K872" s="3" t="n"/>
      <c r="L872" s="3" t="n"/>
      <c r="M872" s="3" t="n"/>
      <c r="N872" s="3" t="n"/>
    </row>
    <row r="873">
      <c r="A873" s="3" t="n"/>
      <c r="B873" s="3" t="n"/>
      <c r="C873" s="3" t="n"/>
      <c r="D873" s="3" t="n"/>
      <c r="E873" s="3" t="n"/>
      <c r="F873" s="3" t="n"/>
      <c r="G873" s="3" t="n"/>
      <c r="H873" s="3" t="n"/>
      <c r="I873" s="3" t="n"/>
      <c r="J873" s="3" t="n"/>
      <c r="K873" s="3" t="n"/>
      <c r="L873" s="3" t="n"/>
      <c r="M873" s="3" t="n"/>
      <c r="N873" s="3" t="n"/>
    </row>
    <row r="874">
      <c r="A874" s="3" t="n"/>
      <c r="B874" s="3" t="n"/>
      <c r="C874" s="3" t="n"/>
      <c r="D874" s="3" t="n"/>
      <c r="E874" s="3" t="n"/>
      <c r="F874" s="3" t="n"/>
      <c r="G874" s="3" t="n"/>
      <c r="H874" s="3" t="n"/>
      <c r="I874" s="3" t="n"/>
      <c r="J874" s="3" t="n"/>
      <c r="K874" s="3" t="n"/>
      <c r="L874" s="3" t="n"/>
      <c r="M874" s="3" t="n"/>
      <c r="N874" s="3" t="n"/>
    </row>
    <row r="875">
      <c r="A875" s="3" t="n"/>
      <c r="B875" s="3" t="n"/>
      <c r="C875" s="3" t="n"/>
      <c r="D875" s="3" t="n"/>
      <c r="E875" s="3" t="n"/>
      <c r="F875" s="3" t="n"/>
      <c r="G875" s="3" t="n"/>
      <c r="H875" s="3" t="n"/>
      <c r="I875" s="3" t="n"/>
      <c r="J875" s="3" t="n"/>
      <c r="K875" s="3" t="n"/>
      <c r="L875" s="3" t="n"/>
      <c r="M875" s="3" t="n"/>
      <c r="N875" s="3" t="n"/>
    </row>
    <row r="876">
      <c r="A876" s="3" t="n"/>
      <c r="B876" s="3" t="n"/>
      <c r="C876" s="3" t="n"/>
      <c r="D876" s="3" t="n"/>
      <c r="E876" s="3" t="n"/>
      <c r="F876" s="3" t="n"/>
      <c r="G876" s="3" t="n"/>
      <c r="H876" s="3" t="n"/>
      <c r="I876" s="3" t="n"/>
      <c r="J876" s="3" t="n"/>
      <c r="K876" s="3" t="n"/>
      <c r="L876" s="3" t="n"/>
      <c r="M876" s="3" t="n"/>
      <c r="N876" s="3" t="n"/>
    </row>
    <row r="877">
      <c r="A877" s="3" t="n"/>
      <c r="B877" s="3" t="n"/>
      <c r="C877" s="3" t="n"/>
      <c r="D877" s="3" t="n"/>
      <c r="E877" s="3" t="n"/>
      <c r="F877" s="3" t="n"/>
      <c r="G877" s="3" t="n"/>
      <c r="H877" s="3" t="n"/>
      <c r="I877" s="3" t="n"/>
      <c r="J877" s="3" t="n"/>
      <c r="K877" s="3" t="n"/>
      <c r="L877" s="3" t="n"/>
      <c r="M877" s="3" t="n"/>
      <c r="N877" s="3" t="n"/>
    </row>
    <row r="878">
      <c r="A878" s="3" t="n"/>
      <c r="B878" s="3" t="n"/>
      <c r="C878" s="3" t="n"/>
      <c r="D878" s="3" t="n"/>
      <c r="E878" s="3" t="n"/>
      <c r="F878" s="3" t="n"/>
      <c r="G878" s="3" t="n"/>
      <c r="H878" s="3" t="n"/>
      <c r="I878" s="3" t="n"/>
      <c r="J878" s="3" t="n"/>
      <c r="K878" s="3" t="n"/>
      <c r="L878" s="3" t="n"/>
      <c r="M878" s="3" t="n"/>
      <c r="N878" s="3" t="n"/>
    </row>
    <row r="879">
      <c r="A879" s="3" t="n"/>
      <c r="B879" s="3" t="n"/>
      <c r="C879" s="3" t="n"/>
      <c r="D879" s="3" t="n"/>
      <c r="E879" s="3" t="n"/>
      <c r="F879" s="3" t="n"/>
      <c r="G879" s="3" t="n"/>
      <c r="H879" s="3" t="n"/>
      <c r="I879" s="3" t="n"/>
      <c r="J879" s="3" t="n"/>
      <c r="K879" s="3" t="n"/>
      <c r="L879" s="3" t="n"/>
      <c r="M879" s="3" t="n"/>
      <c r="N879" s="3" t="n"/>
    </row>
    <row r="880">
      <c r="A880" s="3" t="n"/>
      <c r="B880" s="3" t="n"/>
      <c r="C880" s="3" t="n"/>
      <c r="D880" s="3" t="n"/>
      <c r="E880" s="3" t="n"/>
      <c r="F880" s="3" t="n"/>
      <c r="G880" s="3" t="n"/>
      <c r="H880" s="3" t="n"/>
      <c r="I880" s="3" t="n"/>
      <c r="J880" s="3" t="n"/>
      <c r="K880" s="3" t="n"/>
      <c r="L880" s="3" t="n"/>
      <c r="M880" s="3" t="n"/>
      <c r="N880" s="3" t="n"/>
    </row>
    <row r="881">
      <c r="A881" s="3" t="n"/>
      <c r="B881" s="3" t="n"/>
      <c r="C881" s="3" t="n"/>
      <c r="D881" s="3" t="n"/>
      <c r="E881" s="3" t="n"/>
      <c r="F881" s="3" t="n"/>
      <c r="G881" s="3" t="n"/>
      <c r="H881" s="3" t="n"/>
      <c r="I881" s="3" t="n"/>
      <c r="J881" s="3" t="n"/>
      <c r="K881" s="3" t="n"/>
      <c r="L881" s="3" t="n"/>
      <c r="M881" s="3" t="n"/>
      <c r="N881" s="3" t="n"/>
    </row>
    <row r="882">
      <c r="A882" s="3" t="n"/>
      <c r="B882" s="3" t="n"/>
      <c r="C882" s="3" t="n"/>
      <c r="D882" s="3" t="n"/>
      <c r="E882" s="3" t="n"/>
      <c r="F882" s="3" t="n"/>
      <c r="G882" s="3" t="n"/>
      <c r="H882" s="3" t="n"/>
      <c r="I882" s="3" t="n"/>
      <c r="J882" s="3" t="n"/>
      <c r="K882" s="3" t="n"/>
      <c r="L882" s="3" t="n"/>
      <c r="M882" s="3" t="n"/>
      <c r="N882" s="3" t="n"/>
    </row>
    <row r="883">
      <c r="A883" s="3" t="n"/>
      <c r="B883" s="3" t="n"/>
      <c r="C883" s="3" t="n"/>
      <c r="D883" s="3" t="n"/>
      <c r="E883" s="3" t="n"/>
      <c r="F883" s="3" t="n"/>
      <c r="G883" s="3" t="n"/>
      <c r="H883" s="3" t="n"/>
      <c r="I883" s="3" t="n"/>
      <c r="J883" s="3" t="n"/>
      <c r="K883" s="3" t="n"/>
      <c r="L883" s="3" t="n"/>
      <c r="M883" s="3" t="n"/>
      <c r="N883" s="3" t="n"/>
    </row>
    <row r="884">
      <c r="A884" s="3" t="n"/>
      <c r="B884" s="3" t="n"/>
      <c r="C884" s="3" t="n"/>
      <c r="D884" s="3" t="n"/>
      <c r="E884" s="3" t="n"/>
      <c r="F884" s="3" t="n"/>
      <c r="G884" s="3" t="n"/>
      <c r="H884" s="3" t="n"/>
      <c r="I884" s="3" t="n"/>
      <c r="J884" s="3" t="n"/>
      <c r="K884" s="3" t="n"/>
      <c r="L884" s="3" t="n"/>
      <c r="M884" s="3" t="n"/>
      <c r="N884" s="3" t="n"/>
    </row>
    <row r="885">
      <c r="A885" s="3" t="n"/>
      <c r="B885" s="3" t="n"/>
      <c r="C885" s="3" t="n"/>
      <c r="D885" s="3" t="n"/>
      <c r="E885" s="3" t="n"/>
      <c r="F885" s="3" t="n"/>
      <c r="G885" s="3" t="n"/>
      <c r="H885" s="3" t="n"/>
      <c r="I885" s="3" t="n"/>
      <c r="J885" s="3" t="n"/>
      <c r="K885" s="3" t="n"/>
      <c r="L885" s="3" t="n"/>
      <c r="M885" s="3" t="n"/>
      <c r="N885" s="3" t="n"/>
    </row>
    <row r="886">
      <c r="A886" s="3" t="n"/>
      <c r="B886" s="3" t="n"/>
      <c r="C886" s="3" t="n"/>
      <c r="D886" s="3" t="n"/>
      <c r="E886" s="3" t="n"/>
      <c r="F886" s="3" t="n"/>
      <c r="G886" s="3" t="n"/>
      <c r="H886" s="3" t="n"/>
      <c r="I886" s="3" t="n"/>
      <c r="J886" s="3" t="n"/>
      <c r="K886" s="3" t="n"/>
      <c r="L886" s="3" t="n"/>
      <c r="M886" s="3" t="n"/>
      <c r="N886" s="3" t="n"/>
    </row>
    <row r="887">
      <c r="A887" s="3" t="n"/>
      <c r="B887" s="3" t="n"/>
      <c r="C887" s="3" t="n"/>
      <c r="D887" s="3" t="n"/>
      <c r="E887" s="3" t="n"/>
      <c r="F887" s="3" t="n"/>
      <c r="G887" s="3" t="n"/>
      <c r="H887" s="3" t="n"/>
      <c r="I887" s="3" t="n"/>
      <c r="J887" s="3" t="n"/>
      <c r="K887" s="3" t="n"/>
      <c r="L887" s="3" t="n"/>
      <c r="M887" s="3" t="n"/>
      <c r="N887" s="3" t="n"/>
    </row>
    <row r="888">
      <c r="A888" s="3" t="n"/>
      <c r="B888" s="3" t="n"/>
      <c r="C888" s="3" t="n"/>
      <c r="D888" s="3" t="n"/>
      <c r="E888" s="3" t="n"/>
      <c r="F888" s="3" t="n"/>
      <c r="G888" s="3" t="n"/>
      <c r="H888" s="3" t="n"/>
      <c r="I888" s="3" t="n"/>
      <c r="J888" s="3" t="n"/>
      <c r="K888" s="3" t="n"/>
      <c r="L888" s="3" t="n"/>
      <c r="M888" s="3" t="n"/>
      <c r="N888" s="3" t="n"/>
    </row>
    <row r="889">
      <c r="A889" s="3" t="n"/>
      <c r="B889" s="3" t="n"/>
      <c r="C889" s="3" t="n"/>
      <c r="D889" s="3" t="n"/>
      <c r="E889" s="3" t="n"/>
      <c r="F889" s="3" t="n"/>
      <c r="G889" s="3" t="n"/>
      <c r="H889" s="3" t="n"/>
      <c r="I889" s="3" t="n"/>
      <c r="J889" s="3" t="n"/>
      <c r="K889" s="3" t="n"/>
      <c r="L889" s="3" t="n"/>
      <c r="M889" s="3" t="n"/>
      <c r="N889" s="3" t="n"/>
    </row>
    <row r="890">
      <c r="A890" s="3" t="n"/>
      <c r="B890" s="3" t="n"/>
      <c r="C890" s="3" t="n"/>
      <c r="D890" s="3" t="n"/>
      <c r="E890" s="3" t="n"/>
      <c r="F890" s="3" t="n"/>
      <c r="G890" s="3" t="n"/>
      <c r="H890" s="3" t="n"/>
      <c r="I890" s="3" t="n"/>
      <c r="J890" s="3" t="n"/>
      <c r="K890" s="3" t="n"/>
      <c r="L890" s="3" t="n"/>
      <c r="M890" s="3" t="n"/>
      <c r="N890" s="3" t="n"/>
    </row>
    <row r="891">
      <c r="A891" s="3" t="n"/>
      <c r="B891" s="3" t="n"/>
      <c r="C891" s="3" t="n"/>
      <c r="D891" s="3" t="n"/>
      <c r="E891" s="3" t="n"/>
      <c r="F891" s="3" t="n"/>
      <c r="G891" s="3" t="n"/>
      <c r="H891" s="3" t="n"/>
      <c r="I891" s="3" t="n"/>
      <c r="J891" s="3" t="n"/>
      <c r="K891" s="3" t="n"/>
      <c r="L891" s="3" t="n"/>
      <c r="M891" s="3" t="n"/>
      <c r="N891" s="3" t="n"/>
    </row>
    <row r="892">
      <c r="A892" s="3" t="n"/>
      <c r="B892" s="3" t="n"/>
      <c r="C892" s="3" t="n"/>
      <c r="D892" s="3" t="n"/>
      <c r="E892" s="3" t="n"/>
      <c r="F892" s="3" t="n"/>
      <c r="G892" s="3" t="n"/>
      <c r="H892" s="3" t="n"/>
      <c r="I892" s="3" t="n"/>
      <c r="J892" s="3" t="n"/>
      <c r="K892" s="3" t="n"/>
      <c r="L892" s="3" t="n"/>
      <c r="M892" s="3" t="n"/>
      <c r="N892" s="3" t="n"/>
    </row>
    <row r="893">
      <c r="A893" s="3" t="n"/>
      <c r="B893" s="3" t="n"/>
      <c r="C893" s="3" t="n"/>
      <c r="D893" s="3" t="n"/>
      <c r="E893" s="3" t="n"/>
      <c r="F893" s="3" t="n"/>
      <c r="G893" s="3" t="n"/>
      <c r="H893" s="3" t="n"/>
      <c r="I893" s="3" t="n"/>
      <c r="J893" s="3" t="n"/>
      <c r="K893" s="3" t="n"/>
      <c r="L893" s="3" t="n"/>
      <c r="M893" s="3" t="n"/>
      <c r="N893" s="3" t="n"/>
    </row>
    <row r="894">
      <c r="A894" s="3" t="n"/>
      <c r="B894" s="3" t="n"/>
      <c r="C894" s="3" t="n"/>
      <c r="D894" s="3" t="n"/>
      <c r="E894" s="3" t="n"/>
      <c r="F894" s="3" t="n"/>
      <c r="G894" s="3" t="n"/>
      <c r="H894" s="3" t="n"/>
      <c r="I894" s="3" t="n"/>
      <c r="J894" s="3" t="n"/>
      <c r="K894" s="3" t="n"/>
      <c r="L894" s="3" t="n"/>
      <c r="M894" s="3" t="n"/>
      <c r="N894" s="3" t="n"/>
    </row>
    <row r="895">
      <c r="A895" s="3" t="n"/>
      <c r="B895" s="3" t="n"/>
      <c r="C895" s="3" t="n"/>
      <c r="D895" s="3" t="n"/>
      <c r="E895" s="3" t="n"/>
      <c r="F895" s="3" t="n"/>
      <c r="G895" s="3" t="n"/>
      <c r="H895" s="3" t="n"/>
      <c r="I895" s="3" t="n"/>
      <c r="J895" s="3" t="n"/>
      <c r="K895" s="3" t="n"/>
      <c r="L895" s="3" t="n"/>
      <c r="M895" s="3" t="n"/>
      <c r="N895" s="3" t="n"/>
    </row>
    <row r="896">
      <c r="A896" s="3" t="n"/>
      <c r="B896" s="3" t="n"/>
      <c r="C896" s="3" t="n"/>
      <c r="D896" s="3" t="n"/>
      <c r="E896" s="3" t="n"/>
      <c r="F896" s="3" t="n"/>
      <c r="G896" s="3" t="n"/>
      <c r="H896" s="3" t="n"/>
      <c r="I896" s="3" t="n"/>
      <c r="J896" s="3" t="n"/>
      <c r="K896" s="3" t="n"/>
      <c r="L896" s="3" t="n"/>
      <c r="M896" s="3" t="n"/>
      <c r="N896" s="3" t="n"/>
    </row>
    <row r="897">
      <c r="A897" s="3" t="n"/>
      <c r="B897" s="3" t="n"/>
      <c r="C897" s="3" t="n"/>
      <c r="D897" s="3" t="n"/>
      <c r="E897" s="3" t="n"/>
      <c r="F897" s="3" t="n"/>
      <c r="G897" s="3" t="n"/>
      <c r="H897" s="3" t="n"/>
      <c r="I897" s="3" t="n"/>
      <c r="J897" s="3" t="n"/>
      <c r="K897" s="3" t="n"/>
      <c r="L897" s="3" t="n"/>
      <c r="M897" s="3" t="n"/>
      <c r="N897" s="3" t="n"/>
    </row>
    <row r="898">
      <c r="A898" s="3" t="n"/>
      <c r="B898" s="3" t="n"/>
      <c r="C898" s="3" t="n"/>
      <c r="D898" s="3" t="n"/>
      <c r="E898" s="3" t="n"/>
      <c r="F898" s="3" t="n"/>
      <c r="G898" s="3" t="n"/>
      <c r="H898" s="3" t="n"/>
      <c r="I898" s="3" t="n"/>
      <c r="J898" s="3" t="n"/>
      <c r="K898" s="3" t="n"/>
      <c r="L898" s="3" t="n"/>
      <c r="M898" s="3" t="n"/>
      <c r="N898" s="3" t="n"/>
    </row>
    <row r="899">
      <c r="A899" s="3" t="n"/>
      <c r="B899" s="3" t="n"/>
      <c r="C899" s="3" t="n"/>
      <c r="D899" s="3" t="n"/>
      <c r="E899" s="3" t="n"/>
      <c r="F899" s="3" t="n"/>
      <c r="G899" s="3" t="n"/>
      <c r="H899" s="3" t="n"/>
      <c r="I899" s="3" t="n"/>
      <c r="J899" s="3" t="n"/>
      <c r="K899" s="3" t="n"/>
      <c r="L899" s="3" t="n"/>
      <c r="M899" s="3" t="n"/>
      <c r="N899" s="3" t="n"/>
    </row>
    <row r="900">
      <c r="A900" s="3" t="n"/>
      <c r="B900" s="3" t="n"/>
      <c r="C900" s="3" t="n"/>
      <c r="D900" s="3" t="n"/>
      <c r="E900" s="3" t="n"/>
      <c r="F900" s="3" t="n"/>
      <c r="G900" s="3" t="n"/>
      <c r="H900" s="3" t="n"/>
      <c r="I900" s="3" t="n"/>
      <c r="J900" s="3" t="n"/>
      <c r="K900" s="3" t="n"/>
      <c r="L900" s="3" t="n"/>
      <c r="M900" s="3" t="n"/>
      <c r="N900" s="3" t="n"/>
    </row>
    <row r="901">
      <c r="A901" s="3" t="n"/>
      <c r="B901" s="3" t="n"/>
      <c r="C901" s="3" t="n"/>
      <c r="D901" s="3" t="n"/>
      <c r="E901" s="3" t="n"/>
      <c r="F901" s="3" t="n"/>
      <c r="G901" s="3" t="n"/>
      <c r="H901" s="3" t="n"/>
      <c r="I901" s="3" t="n"/>
      <c r="J901" s="3" t="n"/>
      <c r="K901" s="3" t="n"/>
      <c r="L901" s="3" t="n"/>
      <c r="M901" s="3" t="n"/>
      <c r="N901" s="3" t="n"/>
    </row>
    <row r="902">
      <c r="A902" s="3" t="n"/>
      <c r="B902" s="3" t="n"/>
      <c r="C902" s="3" t="n"/>
      <c r="D902" s="3" t="n"/>
      <c r="E902" s="3" t="n"/>
      <c r="F902" s="3" t="n"/>
      <c r="G902" s="3" t="n"/>
      <c r="H902" s="3" t="n"/>
      <c r="I902" s="3" t="n"/>
      <c r="J902" s="3" t="n"/>
      <c r="K902" s="3" t="n"/>
      <c r="L902" s="3" t="n"/>
      <c r="M902" s="3" t="n"/>
      <c r="N902" s="3" t="n"/>
    </row>
    <row r="903">
      <c r="A903" s="3" t="n"/>
      <c r="B903" s="3" t="n"/>
      <c r="C903" s="3" t="n"/>
      <c r="D903" s="3" t="n"/>
      <c r="E903" s="3" t="n"/>
      <c r="F903" s="3" t="n"/>
      <c r="G903" s="3" t="n"/>
      <c r="H903" s="3" t="n"/>
      <c r="I903" s="3" t="n"/>
      <c r="J903" s="3" t="n"/>
      <c r="K903" s="3" t="n"/>
      <c r="L903" s="3" t="n"/>
      <c r="M903" s="3" t="n"/>
      <c r="N903" s="3" t="n"/>
    </row>
    <row r="904">
      <c r="A904" s="3" t="n"/>
      <c r="B904" s="3" t="n"/>
      <c r="C904" s="3" t="n"/>
      <c r="D904" s="3" t="n"/>
      <c r="E904" s="3" t="n"/>
      <c r="F904" s="3" t="n"/>
      <c r="G904" s="3" t="n"/>
      <c r="H904" s="3" t="n"/>
      <c r="I904" s="3" t="n"/>
      <c r="J904" s="3" t="n"/>
      <c r="K904" s="3" t="n"/>
      <c r="L904" s="3" t="n"/>
      <c r="M904" s="3" t="n"/>
      <c r="N904" s="3" t="n"/>
    </row>
    <row r="905">
      <c r="A905" s="3" t="n"/>
      <c r="B905" s="3" t="n"/>
      <c r="C905" s="3" t="n"/>
      <c r="D905" s="3" t="n"/>
      <c r="E905" s="3" t="n"/>
      <c r="F905" s="3" t="n"/>
      <c r="G905" s="3" t="n"/>
      <c r="H905" s="3" t="n"/>
      <c r="I905" s="3" t="n"/>
      <c r="J905" s="3" t="n"/>
      <c r="K905" s="3" t="n"/>
      <c r="L905" s="3" t="n"/>
      <c r="M905" s="3" t="n"/>
      <c r="N905" s="3" t="n"/>
    </row>
    <row r="906">
      <c r="A906" s="3" t="n"/>
      <c r="B906" s="3" t="n"/>
      <c r="C906" s="3" t="n"/>
      <c r="D906" s="3" t="n"/>
      <c r="E906" s="3" t="n"/>
      <c r="F906" s="3" t="n"/>
      <c r="G906" s="3" t="n"/>
      <c r="H906" s="3" t="n"/>
      <c r="I906" s="3" t="n"/>
      <c r="J906" s="3" t="n"/>
      <c r="K906" s="3" t="n"/>
      <c r="L906" s="3" t="n"/>
      <c r="M906" s="3" t="n"/>
      <c r="N906" s="3" t="n"/>
    </row>
    <row r="907">
      <c r="A907" s="3" t="n"/>
      <c r="B907" s="3" t="n"/>
      <c r="C907" s="3" t="n"/>
      <c r="D907" s="3" t="n"/>
      <c r="E907" s="3" t="n"/>
      <c r="F907" s="3" t="n"/>
      <c r="G907" s="3" t="n"/>
      <c r="H907" s="3" t="n"/>
      <c r="I907" s="3" t="n"/>
      <c r="J907" s="3" t="n"/>
      <c r="K907" s="3" t="n"/>
      <c r="L907" s="3" t="n"/>
      <c r="M907" s="3" t="n"/>
      <c r="N907" s="3" t="n"/>
    </row>
    <row r="908">
      <c r="A908" s="3" t="n"/>
      <c r="B908" s="3" t="n"/>
      <c r="C908" s="3" t="n"/>
      <c r="D908" s="3" t="n"/>
      <c r="E908" s="3" t="n"/>
      <c r="F908" s="3" t="n"/>
      <c r="G908" s="3" t="n"/>
      <c r="H908" s="3" t="n"/>
      <c r="I908" s="3" t="n"/>
      <c r="J908" s="3" t="n"/>
      <c r="K908" s="3" t="n"/>
      <c r="L908" s="3" t="n"/>
      <c r="M908" s="3" t="n"/>
      <c r="N908" s="3" t="n"/>
    </row>
    <row r="909">
      <c r="A909" s="3" t="n"/>
      <c r="B909" s="3" t="n"/>
      <c r="C909" s="3" t="n"/>
      <c r="D909" s="3" t="n"/>
      <c r="E909" s="3" t="n"/>
      <c r="F909" s="3" t="n"/>
      <c r="G909" s="3" t="n"/>
      <c r="H909" s="3" t="n"/>
      <c r="I909" s="3" t="n"/>
      <c r="J909" s="3" t="n"/>
      <c r="K909" s="3" t="n"/>
      <c r="L909" s="3" t="n"/>
      <c r="M909" s="3" t="n"/>
      <c r="N909" s="3" t="n"/>
    </row>
    <row r="910">
      <c r="A910" s="3" t="n"/>
      <c r="B910" s="3" t="n"/>
      <c r="C910" s="3" t="n"/>
      <c r="D910" s="3" t="n"/>
      <c r="E910" s="3" t="n"/>
      <c r="F910" s="3" t="n"/>
      <c r="G910" s="3" t="n"/>
      <c r="H910" s="3" t="n"/>
      <c r="I910" s="3" t="n"/>
      <c r="J910" s="3" t="n"/>
      <c r="K910" s="3" t="n"/>
      <c r="L910" s="3" t="n"/>
      <c r="M910" s="3" t="n"/>
      <c r="N910" s="3" t="n"/>
    </row>
    <row r="911">
      <c r="A911" s="3" t="n"/>
      <c r="B911" s="3" t="n"/>
      <c r="C911" s="3" t="n"/>
      <c r="D911" s="3" t="n"/>
      <c r="E911" s="3" t="n"/>
      <c r="F911" s="3" t="n"/>
      <c r="G911" s="3" t="n"/>
      <c r="H911" s="3" t="n"/>
      <c r="I911" s="3" t="n"/>
      <c r="J911" s="3" t="n"/>
      <c r="K911" s="3" t="n"/>
      <c r="L911" s="3" t="n"/>
      <c r="M911" s="3" t="n"/>
      <c r="N911" s="3" t="n"/>
    </row>
    <row r="912">
      <c r="A912" s="3" t="n"/>
      <c r="B912" s="3" t="n"/>
      <c r="C912" s="3" t="n"/>
      <c r="D912" s="3" t="n"/>
      <c r="E912" s="3" t="n"/>
      <c r="F912" s="3" t="n"/>
      <c r="G912" s="3" t="n"/>
      <c r="H912" s="3" t="n"/>
      <c r="I912" s="3" t="n"/>
      <c r="J912" s="3" t="n"/>
      <c r="K912" s="3" t="n"/>
      <c r="L912" s="3" t="n"/>
      <c r="M912" s="3" t="n"/>
      <c r="N912" s="3" t="n"/>
    </row>
    <row r="913">
      <c r="A913" s="3" t="n"/>
      <c r="B913" s="3" t="n"/>
      <c r="C913" s="3" t="n"/>
      <c r="D913" s="3" t="n"/>
      <c r="E913" s="3" t="n"/>
      <c r="F913" s="3" t="n"/>
      <c r="G913" s="3" t="n"/>
      <c r="H913" s="3" t="n"/>
      <c r="I913" s="3" t="n"/>
      <c r="J913" s="3" t="n"/>
      <c r="K913" s="3" t="n"/>
      <c r="L913" s="3" t="n"/>
      <c r="M913" s="3" t="n"/>
      <c r="N913" s="3" t="n"/>
    </row>
    <row r="914">
      <c r="A914" s="3" t="n"/>
      <c r="B914" s="3" t="n"/>
      <c r="C914" s="3" t="n"/>
      <c r="D914" s="3" t="n"/>
      <c r="E914" s="3" t="n"/>
      <c r="F914" s="3" t="n"/>
      <c r="G914" s="3" t="n"/>
      <c r="H914" s="3" t="n"/>
      <c r="I914" s="3" t="n"/>
      <c r="J914" s="3" t="n"/>
      <c r="K914" s="3" t="n"/>
      <c r="L914" s="3" t="n"/>
      <c r="M914" s="3" t="n"/>
      <c r="N914" s="3" t="n"/>
    </row>
    <row r="915">
      <c r="A915" s="3" t="n"/>
      <c r="B915" s="3" t="n"/>
      <c r="C915" s="3" t="n"/>
      <c r="D915" s="3" t="n"/>
      <c r="E915" s="3" t="n"/>
      <c r="F915" s="3" t="n"/>
      <c r="G915" s="3" t="n"/>
      <c r="H915" s="3" t="n"/>
      <c r="I915" s="3" t="n"/>
      <c r="J915" s="3" t="n"/>
      <c r="K915" s="3" t="n"/>
      <c r="L915" s="3" t="n"/>
      <c r="M915" s="3" t="n"/>
      <c r="N915" s="3" t="n"/>
    </row>
    <row r="916">
      <c r="A916" s="3" t="n"/>
      <c r="B916" s="3" t="n"/>
      <c r="C916" s="3" t="n"/>
      <c r="D916" s="3" t="n"/>
      <c r="E916" s="3" t="n"/>
      <c r="F916" s="3" t="n"/>
      <c r="G916" s="3" t="n"/>
      <c r="H916" s="3" t="n"/>
      <c r="I916" s="3" t="n"/>
      <c r="J916" s="3" t="n"/>
      <c r="K916" s="3" t="n"/>
      <c r="L916" s="3" t="n"/>
      <c r="M916" s="3" t="n"/>
      <c r="N916" s="3" t="n"/>
    </row>
    <row r="917">
      <c r="A917" s="3" t="n"/>
      <c r="B917" s="3" t="n"/>
      <c r="C917" s="3" t="n"/>
      <c r="D917" s="3" t="n"/>
      <c r="E917" s="3" t="n"/>
      <c r="F917" s="3" t="n"/>
      <c r="G917" s="3" t="n"/>
      <c r="H917" s="3" t="n"/>
      <c r="I917" s="3" t="n"/>
      <c r="J917" s="3" t="n"/>
      <c r="K917" s="3" t="n"/>
      <c r="L917" s="3" t="n"/>
      <c r="M917" s="3" t="n"/>
      <c r="N917" s="3" t="n"/>
    </row>
    <row r="918">
      <c r="A918" s="3" t="n"/>
      <c r="B918" s="3" t="n"/>
      <c r="C918" s="3" t="n"/>
      <c r="D918" s="3" t="n"/>
      <c r="E918" s="3" t="n"/>
      <c r="F918" s="3" t="n"/>
      <c r="G918" s="3" t="n"/>
      <c r="H918" s="3" t="n"/>
      <c r="I918" s="3" t="n"/>
      <c r="J918" s="3" t="n"/>
      <c r="K918" s="3" t="n"/>
      <c r="L918" s="3" t="n"/>
      <c r="M918" s="3" t="n"/>
      <c r="N918" s="3" t="n"/>
    </row>
    <row r="919">
      <c r="A919" s="3" t="n"/>
      <c r="B919" s="3" t="n"/>
      <c r="C919" s="3" t="n"/>
      <c r="D919" s="3" t="n"/>
      <c r="E919" s="3" t="n"/>
      <c r="F919" s="3" t="n"/>
      <c r="G919" s="3" t="n"/>
      <c r="H919" s="3" t="n"/>
      <c r="I919" s="3" t="n"/>
      <c r="J919" s="3" t="n"/>
      <c r="K919" s="3" t="n"/>
      <c r="L919" s="3" t="n"/>
      <c r="M919" s="3" t="n"/>
      <c r="N919" s="3" t="n"/>
    </row>
    <row r="920">
      <c r="A920" s="3" t="n"/>
      <c r="B920" s="3" t="n"/>
      <c r="C920" s="3" t="n"/>
      <c r="D920" s="3" t="n"/>
      <c r="E920" s="3" t="n"/>
      <c r="F920" s="3" t="n"/>
      <c r="G920" s="3" t="n"/>
      <c r="H920" s="3" t="n"/>
      <c r="I920" s="3" t="n"/>
      <c r="J920" s="3" t="n"/>
      <c r="K920" s="3" t="n"/>
      <c r="L920" s="3" t="n"/>
      <c r="M920" s="3" t="n"/>
      <c r="N920" s="3" t="n"/>
    </row>
    <row r="921">
      <c r="A921" s="3" t="n"/>
      <c r="B921" s="3" t="n"/>
      <c r="C921" s="3" t="n"/>
      <c r="D921" s="3" t="n"/>
      <c r="E921" s="3" t="n"/>
      <c r="F921" s="3" t="n"/>
      <c r="G921" s="3" t="n"/>
      <c r="H921" s="3" t="n"/>
      <c r="I921" s="3" t="n"/>
      <c r="J921" s="3" t="n"/>
      <c r="K921" s="3" t="n"/>
      <c r="L921" s="3" t="n"/>
      <c r="M921" s="3" t="n"/>
      <c r="N921" s="3" t="n"/>
    </row>
    <row r="922">
      <c r="A922" s="3" t="n"/>
      <c r="B922" s="3" t="n"/>
      <c r="C922" s="3" t="n"/>
      <c r="D922" s="3" t="n"/>
      <c r="E922" s="3" t="n"/>
      <c r="F922" s="3" t="n"/>
      <c r="G922" s="3" t="n"/>
      <c r="H922" s="3" t="n"/>
      <c r="I922" s="3" t="n"/>
      <c r="J922" s="3" t="n"/>
      <c r="K922" s="3" t="n"/>
      <c r="L922" s="3" t="n"/>
      <c r="M922" s="3" t="n"/>
      <c r="N922" s="3" t="n"/>
    </row>
    <row r="923">
      <c r="A923" s="3" t="n"/>
      <c r="B923" s="3" t="n"/>
      <c r="C923" s="3" t="n"/>
      <c r="D923" s="3" t="n"/>
      <c r="E923" s="3" t="n"/>
      <c r="F923" s="3" t="n"/>
      <c r="G923" s="3" t="n"/>
      <c r="H923" s="3" t="n"/>
      <c r="I923" s="3" t="n"/>
      <c r="J923" s="3" t="n"/>
      <c r="K923" s="3" t="n"/>
      <c r="L923" s="3" t="n"/>
      <c r="M923" s="3" t="n"/>
      <c r="N923" s="3" t="n"/>
    </row>
    <row r="924">
      <c r="A924" s="3" t="n"/>
      <c r="B924" s="3" t="n"/>
      <c r="C924" s="3" t="n"/>
      <c r="D924" s="3" t="n"/>
      <c r="E924" s="3" t="n"/>
      <c r="F924" s="3" t="n"/>
      <c r="G924" s="3" t="n"/>
      <c r="H924" s="3" t="n"/>
      <c r="I924" s="3" t="n"/>
      <c r="J924" s="3" t="n"/>
      <c r="K924" s="3" t="n"/>
      <c r="L924" s="3" t="n"/>
      <c r="M924" s="3" t="n"/>
      <c r="N924" s="3" t="n"/>
    </row>
    <row r="925">
      <c r="A925" s="3" t="n"/>
      <c r="B925" s="3" t="n"/>
      <c r="C925" s="3" t="n"/>
      <c r="D925" s="3" t="n"/>
      <c r="E925" s="3" t="n"/>
      <c r="F925" s="3" t="n"/>
      <c r="G925" s="3" t="n"/>
      <c r="H925" s="3" t="n"/>
      <c r="I925" s="3" t="n"/>
      <c r="J925" s="3" t="n"/>
      <c r="K925" s="3" t="n"/>
      <c r="L925" s="3" t="n"/>
      <c r="M925" s="3" t="n"/>
      <c r="N925" s="3" t="n"/>
    </row>
    <row r="926">
      <c r="A926" s="3" t="n"/>
      <c r="B926" s="3" t="n"/>
      <c r="C926" s="3" t="n"/>
      <c r="D926" s="3" t="n"/>
      <c r="E926" s="3" t="n"/>
      <c r="F926" s="3" t="n"/>
      <c r="G926" s="3" t="n"/>
      <c r="H926" s="3" t="n"/>
      <c r="I926" s="3" t="n"/>
      <c r="J926" s="3" t="n"/>
      <c r="K926" s="3" t="n"/>
      <c r="L926" s="3" t="n"/>
      <c r="M926" s="3" t="n"/>
      <c r="N926" s="3" t="n"/>
    </row>
    <row r="927">
      <c r="A927" s="3" t="n"/>
      <c r="B927" s="3" t="n"/>
      <c r="C927" s="3" t="n"/>
      <c r="D927" s="3" t="n"/>
      <c r="E927" s="3" t="n"/>
      <c r="F927" s="3" t="n"/>
      <c r="G927" s="3" t="n"/>
      <c r="H927" s="3" t="n"/>
      <c r="I927" s="3" t="n"/>
      <c r="J927" s="3" t="n"/>
      <c r="K927" s="3" t="n"/>
      <c r="L927" s="3" t="n"/>
      <c r="M927" s="3" t="n"/>
      <c r="N927" s="3" t="n"/>
    </row>
    <row r="928">
      <c r="A928" s="3" t="n"/>
      <c r="B928" s="3" t="n"/>
      <c r="C928" s="3" t="n"/>
      <c r="D928" s="3" t="n"/>
      <c r="E928" s="3" t="n"/>
      <c r="F928" s="3" t="n"/>
      <c r="G928" s="3" t="n"/>
      <c r="H928" s="3" t="n"/>
      <c r="I928" s="3" t="n"/>
      <c r="J928" s="3" t="n"/>
      <c r="K928" s="3" t="n"/>
      <c r="L928" s="3" t="n"/>
      <c r="M928" s="3" t="n"/>
      <c r="N928" s="3" t="n"/>
    </row>
    <row r="929">
      <c r="A929" s="3" t="n"/>
      <c r="B929" s="3" t="n"/>
      <c r="C929" s="3" t="n"/>
      <c r="D929" s="3" t="n"/>
      <c r="E929" s="3" t="n"/>
      <c r="F929" s="3" t="n"/>
      <c r="G929" s="3" t="n"/>
      <c r="H929" s="3" t="n"/>
      <c r="I929" s="3" t="n"/>
      <c r="J929" s="3" t="n"/>
      <c r="K929" s="3" t="n"/>
      <c r="L929" s="3" t="n"/>
      <c r="M929" s="3" t="n"/>
      <c r="N929" s="3" t="n"/>
    </row>
    <row r="930">
      <c r="A930" s="3" t="n"/>
      <c r="B930" s="3" t="n"/>
      <c r="C930" s="3" t="n"/>
      <c r="D930" s="3" t="n"/>
      <c r="E930" s="3" t="n"/>
      <c r="F930" s="3" t="n"/>
      <c r="G930" s="3" t="n"/>
      <c r="H930" s="3" t="n"/>
      <c r="I930" s="3" t="n"/>
      <c r="J930" s="3" t="n"/>
      <c r="K930" s="3" t="n"/>
      <c r="L930" s="3" t="n"/>
      <c r="M930" s="3" t="n"/>
      <c r="N930" s="3" t="n"/>
    </row>
    <row r="931">
      <c r="A931" s="3" t="n"/>
      <c r="B931" s="3" t="n"/>
      <c r="C931" s="3" t="n"/>
      <c r="D931" s="3" t="n"/>
      <c r="E931" s="3" t="n"/>
      <c r="F931" s="3" t="n"/>
      <c r="G931" s="3" t="n"/>
      <c r="H931" s="3" t="n"/>
      <c r="I931" s="3" t="n"/>
      <c r="J931" s="3" t="n"/>
      <c r="K931" s="3" t="n"/>
      <c r="L931" s="3" t="n"/>
      <c r="M931" s="3" t="n"/>
      <c r="N931" s="3" t="n"/>
    </row>
    <row r="932">
      <c r="A932" s="3" t="n"/>
      <c r="B932" s="3" t="n"/>
      <c r="C932" s="3" t="n"/>
      <c r="D932" s="3" t="n"/>
      <c r="E932" s="3" t="n"/>
      <c r="F932" s="3" t="n"/>
      <c r="G932" s="3" t="n"/>
      <c r="H932" s="3" t="n"/>
      <c r="I932" s="3" t="n"/>
      <c r="J932" s="3" t="n"/>
      <c r="K932" s="3" t="n"/>
      <c r="L932" s="3" t="n"/>
      <c r="M932" s="3" t="n"/>
      <c r="N932" s="3" t="n"/>
    </row>
    <row r="933">
      <c r="A933" s="3" t="n"/>
      <c r="B933" s="3" t="n"/>
      <c r="C933" s="3" t="n"/>
      <c r="D933" s="3" t="n"/>
      <c r="E933" s="3" t="n"/>
      <c r="F933" s="3" t="n"/>
      <c r="G933" s="3" t="n"/>
      <c r="H933" s="3" t="n"/>
      <c r="I933" s="3" t="n"/>
      <c r="J933" s="3" t="n"/>
      <c r="K933" s="3" t="n"/>
      <c r="L933" s="3" t="n"/>
      <c r="M933" s="3" t="n"/>
      <c r="N933" s="3" t="n"/>
    </row>
    <row r="934">
      <c r="A934" s="3" t="n"/>
      <c r="B934" s="3" t="n"/>
      <c r="C934" s="3" t="n"/>
      <c r="D934" s="3" t="n"/>
      <c r="E934" s="3" t="n"/>
      <c r="F934" s="3" t="n"/>
      <c r="G934" s="3" t="n"/>
      <c r="H934" s="3" t="n"/>
      <c r="I934" s="3" t="n"/>
      <c r="J934" s="3" t="n"/>
      <c r="K934" s="3" t="n"/>
      <c r="L934" s="3" t="n"/>
      <c r="M934" s="3" t="n"/>
      <c r="N934" s="3" t="n"/>
    </row>
    <row r="935">
      <c r="A935" s="3" t="n"/>
      <c r="B935" s="3" t="n"/>
      <c r="C935" s="3" t="n"/>
      <c r="D935" s="3" t="n"/>
      <c r="E935" s="3" t="n"/>
      <c r="F935" s="3" t="n"/>
      <c r="G935" s="3" t="n"/>
      <c r="H935" s="3" t="n"/>
      <c r="I935" s="3" t="n"/>
      <c r="J935" s="3" t="n"/>
      <c r="K935" s="3" t="n"/>
      <c r="L935" s="3" t="n"/>
      <c r="M935" s="3" t="n"/>
      <c r="N935" s="3" t="n"/>
    </row>
    <row r="936">
      <c r="A936" s="3" t="n"/>
      <c r="B936" s="3" t="n"/>
      <c r="C936" s="3" t="n"/>
      <c r="D936" s="3" t="n"/>
      <c r="E936" s="3" t="n"/>
      <c r="F936" s="3" t="n"/>
      <c r="G936" s="3" t="n"/>
      <c r="H936" s="3" t="n"/>
      <c r="I936" s="3" t="n"/>
      <c r="J936" s="3" t="n"/>
      <c r="K936" s="3" t="n"/>
      <c r="L936" s="3" t="n"/>
      <c r="M936" s="3" t="n"/>
      <c r="N936" s="3" t="n"/>
    </row>
    <row r="937">
      <c r="A937" s="3" t="n"/>
      <c r="B937" s="3" t="n"/>
      <c r="C937" s="3" t="n"/>
      <c r="D937" s="3" t="n"/>
      <c r="E937" s="3" t="n"/>
      <c r="F937" s="3" t="n"/>
      <c r="G937" s="3" t="n"/>
      <c r="H937" s="3" t="n"/>
      <c r="I937" s="3" t="n"/>
      <c r="J937" s="3" t="n"/>
      <c r="K937" s="3" t="n"/>
      <c r="L937" s="3" t="n"/>
      <c r="M937" s="3" t="n"/>
      <c r="N937" s="3" t="n"/>
    </row>
    <row r="938">
      <c r="A938" s="3" t="n"/>
      <c r="B938" s="3" t="n"/>
      <c r="C938" s="3" t="n"/>
      <c r="D938" s="3" t="n"/>
      <c r="E938" s="3" t="n"/>
      <c r="F938" s="3" t="n"/>
      <c r="G938" s="3" t="n"/>
      <c r="H938" s="3" t="n"/>
      <c r="I938" s="3" t="n"/>
      <c r="J938" s="3" t="n"/>
      <c r="K938" s="3" t="n"/>
      <c r="L938" s="3" t="n"/>
      <c r="M938" s="3" t="n"/>
      <c r="N938" s="3" t="n"/>
    </row>
    <row r="939">
      <c r="A939" s="3" t="n"/>
      <c r="B939" s="3" t="n"/>
      <c r="C939" s="3" t="n"/>
      <c r="D939" s="3" t="n"/>
      <c r="E939" s="3" t="n"/>
      <c r="F939" s="3" t="n"/>
      <c r="G939" s="3" t="n"/>
      <c r="H939" s="3" t="n"/>
      <c r="I939" s="3" t="n"/>
      <c r="J939" s="3" t="n"/>
      <c r="K939" s="3" t="n"/>
      <c r="L939" s="3" t="n"/>
      <c r="M939" s="3" t="n"/>
      <c r="N939" s="3" t="n"/>
    </row>
    <row r="940">
      <c r="A940" s="3" t="n"/>
      <c r="B940" s="3" t="n"/>
      <c r="C940" s="3" t="n"/>
      <c r="D940" s="3" t="n"/>
      <c r="E940" s="3" t="n"/>
      <c r="F940" s="3" t="n"/>
      <c r="G940" s="3" t="n"/>
      <c r="H940" s="3" t="n"/>
      <c r="I940" s="3" t="n"/>
      <c r="J940" s="3" t="n"/>
      <c r="K940" s="3" t="n"/>
      <c r="L940" s="3" t="n"/>
      <c r="M940" s="3" t="n"/>
      <c r="N940" s="3" t="n"/>
    </row>
    <row r="941">
      <c r="A941" s="3" t="n"/>
      <c r="B941" s="3" t="n"/>
      <c r="C941" s="3" t="n"/>
      <c r="D941" s="3" t="n"/>
      <c r="E941" s="3" t="n"/>
      <c r="F941" s="3" t="n"/>
      <c r="G941" s="3" t="n"/>
      <c r="H941" s="3" t="n"/>
      <c r="I941" s="3" t="n"/>
      <c r="J941" s="3" t="n"/>
      <c r="K941" s="3" t="n"/>
      <c r="L941" s="3" t="n"/>
      <c r="M941" s="3" t="n"/>
      <c r="N941" s="3" t="n"/>
    </row>
    <row r="942">
      <c r="A942" s="3" t="n"/>
      <c r="B942" s="3" t="n"/>
      <c r="C942" s="3" t="n"/>
      <c r="D942" s="3" t="n"/>
      <c r="E942" s="3" t="n"/>
      <c r="F942" s="3" t="n"/>
      <c r="G942" s="3" t="n"/>
      <c r="H942" s="3" t="n"/>
      <c r="I942" s="3" t="n"/>
      <c r="J942" s="3" t="n"/>
      <c r="K942" s="3" t="n"/>
      <c r="L942" s="3" t="n"/>
      <c r="M942" s="3" t="n"/>
      <c r="N942" s="3" t="n"/>
    </row>
    <row r="943">
      <c r="A943" s="3" t="n"/>
      <c r="B943" s="3" t="n"/>
      <c r="C943" s="3" t="n"/>
      <c r="D943" s="3" t="n"/>
      <c r="E943" s="3" t="n"/>
      <c r="F943" s="3" t="n"/>
      <c r="G943" s="3" t="n"/>
      <c r="H943" s="3" t="n"/>
      <c r="I943" s="3" t="n"/>
      <c r="J943" s="3" t="n"/>
      <c r="K943" s="3" t="n"/>
      <c r="L943" s="3" t="n"/>
      <c r="M943" s="3" t="n"/>
      <c r="N943" s="3" t="n"/>
    </row>
    <row r="944">
      <c r="A944" s="3" t="n"/>
      <c r="B944" s="3" t="n"/>
      <c r="C944" s="3" t="n"/>
      <c r="D944" s="3" t="n"/>
      <c r="E944" s="3" t="n"/>
      <c r="F944" s="3" t="n"/>
      <c r="G944" s="3" t="n"/>
      <c r="H944" s="3" t="n"/>
      <c r="I944" s="3" t="n"/>
      <c r="J944" s="3" t="n"/>
      <c r="K944" s="3" t="n"/>
      <c r="L944" s="3" t="n"/>
      <c r="M944" s="3" t="n"/>
      <c r="N944" s="3" t="n"/>
    </row>
    <row r="945">
      <c r="A945" s="3" t="n"/>
      <c r="B945" s="3" t="n"/>
      <c r="C945" s="3" t="n"/>
      <c r="D945" s="3" t="n"/>
      <c r="E945" s="3" t="n"/>
      <c r="F945" s="3" t="n"/>
      <c r="G945" s="3" t="n"/>
      <c r="H945" s="3" t="n"/>
      <c r="I945" s="3" t="n"/>
      <c r="J945" s="3" t="n"/>
      <c r="K945" s="3" t="n"/>
      <c r="L945" s="3" t="n"/>
      <c r="M945" s="3" t="n"/>
      <c r="N945" s="3" t="n"/>
    </row>
    <row r="946">
      <c r="A946" s="3" t="n"/>
      <c r="B946" s="3" t="n"/>
      <c r="C946" s="3" t="n"/>
      <c r="D946" s="3" t="n"/>
      <c r="E946" s="3" t="n"/>
      <c r="F946" s="3" t="n"/>
      <c r="G946" s="3" t="n"/>
      <c r="H946" s="3" t="n"/>
      <c r="I946" s="3" t="n"/>
      <c r="J946" s="3" t="n"/>
      <c r="K946" s="3" t="n"/>
      <c r="L946" s="3" t="n"/>
      <c r="M946" s="3" t="n"/>
      <c r="N946" s="3" t="n"/>
    </row>
    <row r="947">
      <c r="A947" s="3" t="n"/>
      <c r="B947" s="3" t="n"/>
      <c r="C947" s="3" t="n"/>
      <c r="D947" s="3" t="n"/>
      <c r="E947" s="3" t="n"/>
      <c r="F947" s="3" t="n"/>
      <c r="G947" s="3" t="n"/>
      <c r="H947" s="3" t="n"/>
      <c r="I947" s="3" t="n"/>
      <c r="J947" s="3" t="n"/>
      <c r="K947" s="3" t="n"/>
      <c r="L947" s="3" t="n"/>
      <c r="M947" s="3" t="n"/>
      <c r="N947" s="3" t="n"/>
    </row>
    <row r="948">
      <c r="A948" s="3" t="n"/>
      <c r="B948" s="3" t="n"/>
      <c r="C948" s="3" t="n"/>
      <c r="D948" s="3" t="n"/>
      <c r="E948" s="3" t="n"/>
      <c r="F948" s="3" t="n"/>
      <c r="G948" s="3" t="n"/>
      <c r="H948" s="3" t="n"/>
      <c r="I948" s="3" t="n"/>
      <c r="J948" s="3" t="n"/>
      <c r="K948" s="3" t="n"/>
      <c r="L948" s="3" t="n"/>
      <c r="M948" s="3" t="n"/>
      <c r="N948" s="3" t="n"/>
    </row>
    <row r="949">
      <c r="A949" s="3" t="n"/>
      <c r="B949" s="3" t="n"/>
      <c r="C949" s="3" t="n"/>
      <c r="D949" s="3" t="n"/>
      <c r="E949" s="3" t="n"/>
      <c r="F949" s="3" t="n"/>
      <c r="G949" s="3" t="n"/>
      <c r="H949" s="3" t="n"/>
      <c r="I949" s="3" t="n"/>
      <c r="J949" s="3" t="n"/>
      <c r="K949" s="3" t="n"/>
      <c r="L949" s="3" t="n"/>
      <c r="M949" s="3" t="n"/>
      <c r="N949" s="3" t="n"/>
    </row>
    <row r="950">
      <c r="A950" s="3" t="n"/>
      <c r="B950" s="3" t="n"/>
      <c r="C950" s="3" t="n"/>
      <c r="D950" s="3" t="n"/>
      <c r="E950" s="3" t="n"/>
      <c r="F950" s="3" t="n"/>
      <c r="G950" s="3" t="n"/>
      <c r="H950" s="3" t="n"/>
      <c r="I950" s="3" t="n"/>
      <c r="J950" s="3" t="n"/>
      <c r="K950" s="3" t="n"/>
      <c r="L950" s="3" t="n"/>
      <c r="M950" s="3" t="n"/>
      <c r="N950" s="3" t="n"/>
    </row>
    <row r="951">
      <c r="A951" s="3" t="n"/>
      <c r="B951" s="3" t="n"/>
      <c r="C951" s="3" t="n"/>
      <c r="D951" s="3" t="n"/>
      <c r="E951" s="3" t="n"/>
      <c r="F951" s="3" t="n"/>
      <c r="G951" s="3" t="n"/>
      <c r="H951" s="3" t="n"/>
      <c r="I951" s="3" t="n"/>
      <c r="J951" s="3" t="n"/>
      <c r="K951" s="3" t="n"/>
      <c r="L951" s="3" t="n"/>
      <c r="M951" s="3" t="n"/>
      <c r="N951" s="3" t="n"/>
    </row>
    <row r="952">
      <c r="A952" s="3" t="n"/>
      <c r="B952" s="3" t="n"/>
      <c r="C952" s="3" t="n"/>
      <c r="D952" s="3" t="n"/>
      <c r="E952" s="3" t="n"/>
      <c r="F952" s="3" t="n"/>
      <c r="G952" s="3" t="n"/>
      <c r="H952" s="3" t="n"/>
      <c r="I952" s="3" t="n"/>
      <c r="J952" s="3" t="n"/>
      <c r="K952" s="3" t="n"/>
      <c r="L952" s="3" t="n"/>
      <c r="M952" s="3" t="n"/>
      <c r="N952" s="3" t="n"/>
    </row>
    <row r="953">
      <c r="A953" s="3" t="n"/>
      <c r="B953" s="3" t="n"/>
      <c r="C953" s="3" t="n"/>
      <c r="D953" s="3" t="n"/>
      <c r="E953" s="3" t="n"/>
      <c r="F953" s="3" t="n"/>
      <c r="G953" s="3" t="n"/>
      <c r="H953" s="3" t="n"/>
      <c r="I953" s="3" t="n"/>
      <c r="J953" s="3" t="n"/>
      <c r="K953" s="3" t="n"/>
      <c r="L953" s="3" t="n"/>
      <c r="M953" s="3" t="n"/>
      <c r="N953" s="3" t="n"/>
    </row>
    <row r="954">
      <c r="A954" s="3" t="n"/>
      <c r="B954" s="3" t="n"/>
      <c r="C954" s="3" t="n"/>
      <c r="D954" s="3" t="n"/>
      <c r="E954" s="3" t="n"/>
      <c r="F954" s="3" t="n"/>
      <c r="G954" s="3" t="n"/>
      <c r="H954" s="3" t="n"/>
      <c r="I954" s="3" t="n"/>
      <c r="J954" s="3" t="n"/>
      <c r="K954" s="3" t="n"/>
      <c r="L954" s="3" t="n"/>
      <c r="M954" s="3" t="n"/>
      <c r="N954" s="3" t="n"/>
    </row>
    <row r="955">
      <c r="A955" s="3" t="n"/>
      <c r="B955" s="3" t="n"/>
      <c r="C955" s="3" t="n"/>
      <c r="D955" s="3" t="n"/>
      <c r="E955" s="3" t="n"/>
      <c r="F955" s="3" t="n"/>
      <c r="G955" s="3" t="n"/>
      <c r="H955" s="3" t="n"/>
      <c r="I955" s="3" t="n"/>
      <c r="J955" s="3" t="n"/>
      <c r="K955" s="3" t="n"/>
      <c r="L955" s="3" t="n"/>
      <c r="M955" s="3" t="n"/>
      <c r="N955" s="3" t="n"/>
    </row>
    <row r="956">
      <c r="A956" s="3" t="n"/>
      <c r="B956" s="3" t="n"/>
      <c r="C956" s="3" t="n"/>
      <c r="D956" s="3" t="n"/>
      <c r="E956" s="3" t="n"/>
      <c r="F956" s="3" t="n"/>
      <c r="G956" s="3" t="n"/>
      <c r="H956" s="3" t="n"/>
      <c r="I956" s="3" t="n"/>
      <c r="J956" s="3" t="n"/>
      <c r="K956" s="3" t="n"/>
      <c r="L956" s="3" t="n"/>
      <c r="M956" s="3" t="n"/>
      <c r="N956" s="3" t="n"/>
    </row>
    <row r="957">
      <c r="A957" s="3" t="n"/>
      <c r="B957" s="3" t="n"/>
      <c r="C957" s="3" t="n"/>
      <c r="D957" s="3" t="n"/>
      <c r="E957" s="3" t="n"/>
      <c r="F957" s="3" t="n"/>
      <c r="G957" s="3" t="n"/>
      <c r="H957" s="3" t="n"/>
      <c r="I957" s="3" t="n"/>
      <c r="J957" s="3" t="n"/>
      <c r="K957" s="3" t="n"/>
      <c r="L957" s="3" t="n"/>
      <c r="M957" s="3" t="n"/>
      <c r="N957" s="3" t="n"/>
    </row>
    <row r="958">
      <c r="A958" s="3" t="n"/>
      <c r="B958" s="3" t="n"/>
      <c r="C958" s="3" t="n"/>
      <c r="D958" s="3" t="n"/>
      <c r="E958" s="3" t="n"/>
      <c r="F958" s="3" t="n"/>
      <c r="G958" s="3" t="n"/>
      <c r="H958" s="3" t="n"/>
      <c r="I958" s="3" t="n"/>
      <c r="J958" s="3" t="n"/>
      <c r="K958" s="3" t="n"/>
      <c r="L958" s="3" t="n"/>
      <c r="M958" s="3" t="n"/>
      <c r="N958" s="3" t="n"/>
    </row>
    <row r="959">
      <c r="A959" s="3" t="n"/>
      <c r="B959" s="3" t="n"/>
      <c r="C959" s="3" t="n"/>
      <c r="D959" s="3" t="n"/>
      <c r="E959" s="3" t="n"/>
      <c r="F959" s="3" t="n"/>
      <c r="G959" s="3" t="n"/>
      <c r="H959" s="3" t="n"/>
      <c r="I959" s="3" t="n"/>
      <c r="J959" s="3" t="n"/>
      <c r="K959" s="3" t="n"/>
      <c r="L959" s="3" t="n"/>
      <c r="M959" s="3" t="n"/>
      <c r="N959" s="3" t="n"/>
    </row>
    <row r="960">
      <c r="A960" s="3" t="n"/>
      <c r="B960" s="3" t="n"/>
      <c r="C960" s="3" t="n"/>
      <c r="D960" s="3" t="n"/>
      <c r="E960" s="3" t="n"/>
      <c r="F960" s="3" t="n"/>
      <c r="G960" s="3" t="n"/>
      <c r="H960" s="3" t="n"/>
      <c r="I960" s="3" t="n"/>
      <c r="J960" s="3" t="n"/>
      <c r="K960" s="3" t="n"/>
      <c r="L960" s="3" t="n"/>
      <c r="M960" s="3" t="n"/>
      <c r="N960" s="3" t="n"/>
    </row>
    <row r="961">
      <c r="A961" s="3" t="n"/>
      <c r="B961" s="3" t="n"/>
      <c r="C961" s="3" t="n"/>
      <c r="D961" s="3" t="n"/>
      <c r="E961" s="3" t="n"/>
      <c r="F961" s="3" t="n"/>
      <c r="G961" s="3" t="n"/>
      <c r="H961" s="3" t="n"/>
      <c r="I961" s="3" t="n"/>
      <c r="J961" s="3" t="n"/>
      <c r="K961" s="3" t="n"/>
      <c r="L961" s="3" t="n"/>
      <c r="M961" s="3" t="n"/>
      <c r="N961" s="3" t="n"/>
    </row>
    <row r="962">
      <c r="A962" s="3" t="n"/>
      <c r="B962" s="3" t="n"/>
      <c r="C962" s="3" t="n"/>
      <c r="D962" s="3" t="n"/>
      <c r="E962" s="3" t="n"/>
      <c r="F962" s="3" t="n"/>
      <c r="G962" s="3" t="n"/>
      <c r="H962" s="3" t="n"/>
      <c r="I962" s="3" t="n"/>
      <c r="J962" s="3" t="n"/>
      <c r="K962" s="3" t="n"/>
      <c r="L962" s="3" t="n"/>
      <c r="M962" s="3" t="n"/>
      <c r="N962" s="3" t="n"/>
    </row>
    <row r="963">
      <c r="A963" s="3" t="n"/>
      <c r="B963" s="3" t="n"/>
      <c r="C963" s="3" t="n"/>
      <c r="D963" s="3" t="n"/>
      <c r="E963" s="3" t="n"/>
      <c r="F963" s="3" t="n"/>
      <c r="G963" s="3" t="n"/>
      <c r="H963" s="3" t="n"/>
      <c r="I963" s="3" t="n"/>
      <c r="J963" s="3" t="n"/>
      <c r="K963" s="3" t="n"/>
      <c r="L963" s="3" t="n"/>
      <c r="M963" s="3" t="n"/>
      <c r="N963" s="3" t="n"/>
    </row>
    <row r="964">
      <c r="A964" s="3" t="n"/>
      <c r="B964" s="3" t="n"/>
      <c r="C964" s="3" t="n"/>
      <c r="D964" s="3" t="n"/>
      <c r="E964" s="3" t="n"/>
      <c r="F964" s="3" t="n"/>
      <c r="G964" s="3" t="n"/>
      <c r="H964" s="3" t="n"/>
      <c r="I964" s="3" t="n"/>
      <c r="J964" s="3" t="n"/>
      <c r="K964" s="3" t="n"/>
      <c r="L964" s="3" t="n"/>
      <c r="M964" s="3" t="n"/>
      <c r="N964" s="3" t="n"/>
    </row>
    <row r="965">
      <c r="A965" s="3" t="n"/>
      <c r="B965" s="3" t="n"/>
      <c r="C965" s="3" t="n"/>
      <c r="D965" s="3" t="n"/>
      <c r="E965" s="3" t="n"/>
      <c r="F965" s="3" t="n"/>
      <c r="G965" s="3" t="n"/>
      <c r="H965" s="3" t="n"/>
      <c r="I965" s="3" t="n"/>
      <c r="J965" s="3" t="n"/>
      <c r="K965" s="3" t="n"/>
      <c r="L965" s="3" t="n"/>
      <c r="M965" s="3" t="n"/>
      <c r="N965" s="3" t="n"/>
    </row>
    <row r="966">
      <c r="A966" s="3" t="n"/>
      <c r="B966" s="3" t="n"/>
      <c r="C966" s="3" t="n"/>
      <c r="D966" s="3" t="n"/>
      <c r="E966" s="3" t="n"/>
      <c r="F966" s="3" t="n"/>
      <c r="G966" s="3" t="n"/>
      <c r="H966" s="3" t="n"/>
      <c r="I966" s="3" t="n"/>
      <c r="J966" s="3" t="n"/>
      <c r="K966" s="3" t="n"/>
      <c r="L966" s="3" t="n"/>
      <c r="M966" s="3" t="n"/>
      <c r="N966" s="3" t="n"/>
    </row>
    <row r="967">
      <c r="A967" s="3" t="n"/>
      <c r="B967" s="3" t="n"/>
      <c r="C967" s="3" t="n"/>
      <c r="D967" s="3" t="n"/>
      <c r="E967" s="3" t="n"/>
      <c r="F967" s="3" t="n"/>
      <c r="G967" s="3" t="n"/>
      <c r="H967" s="3" t="n"/>
      <c r="I967" s="3" t="n"/>
      <c r="J967" s="3" t="n"/>
      <c r="K967" s="3" t="n"/>
      <c r="L967" s="3" t="n"/>
      <c r="M967" s="3" t="n"/>
      <c r="N967" s="3" t="n"/>
    </row>
    <row r="968">
      <c r="A968" s="3" t="n"/>
      <c r="B968" s="3" t="n"/>
      <c r="C968" s="3" t="n"/>
      <c r="D968" s="3" t="n"/>
      <c r="E968" s="3" t="n"/>
      <c r="F968" s="3" t="n"/>
      <c r="G968" s="3" t="n"/>
      <c r="H968" s="3" t="n"/>
      <c r="I968" s="3" t="n"/>
      <c r="J968" s="3" t="n"/>
      <c r="K968" s="3" t="n"/>
      <c r="L968" s="3" t="n"/>
      <c r="M968" s="3" t="n"/>
      <c r="N968" s="3" t="n"/>
    </row>
    <row r="969">
      <c r="A969" s="3" t="n"/>
      <c r="B969" s="3" t="n"/>
      <c r="C969" s="3" t="n"/>
      <c r="D969" s="3" t="n"/>
      <c r="E969" s="3" t="n"/>
      <c r="F969" s="3" t="n"/>
      <c r="G969" s="3" t="n"/>
      <c r="H969" s="3" t="n"/>
      <c r="I969" s="3" t="n"/>
      <c r="J969" s="3" t="n"/>
      <c r="K969" s="3" t="n"/>
      <c r="L969" s="3" t="n"/>
      <c r="M969" s="3" t="n"/>
      <c r="N969" s="3" t="n"/>
    </row>
    <row r="970">
      <c r="A970" s="3" t="n"/>
      <c r="B970" s="3" t="n"/>
      <c r="C970" s="3" t="n"/>
      <c r="D970" s="3" t="n"/>
      <c r="E970" s="3" t="n"/>
      <c r="F970" s="3" t="n"/>
      <c r="G970" s="3" t="n"/>
      <c r="H970" s="3" t="n"/>
      <c r="I970" s="3" t="n"/>
      <c r="J970" s="3" t="n"/>
      <c r="K970" s="3" t="n"/>
      <c r="L970" s="3" t="n"/>
      <c r="M970" s="3" t="n"/>
      <c r="N970" s="3" t="n"/>
    </row>
    <row r="971">
      <c r="A971" s="3" t="n"/>
      <c r="B971" s="3" t="n"/>
      <c r="C971" s="3" t="n"/>
      <c r="D971" s="3" t="n"/>
      <c r="E971" s="3" t="n"/>
      <c r="F971" s="3" t="n"/>
      <c r="G971" s="3" t="n"/>
      <c r="H971" s="3" t="n"/>
      <c r="I971" s="3" t="n"/>
      <c r="J971" s="3" t="n"/>
      <c r="K971" s="3" t="n"/>
      <c r="L971" s="3" t="n"/>
      <c r="M971" s="3" t="n"/>
      <c r="N971" s="3" t="n"/>
    </row>
    <row r="972">
      <c r="A972" s="3" t="n"/>
      <c r="B972" s="3" t="n"/>
      <c r="C972" s="3" t="n"/>
      <c r="D972" s="3" t="n"/>
      <c r="E972" s="3" t="n"/>
      <c r="F972" s="3" t="n"/>
      <c r="G972" s="3" t="n"/>
      <c r="H972" s="3" t="n"/>
      <c r="I972" s="3" t="n"/>
      <c r="J972" s="3" t="n"/>
      <c r="K972" s="3" t="n"/>
      <c r="L972" s="3" t="n"/>
      <c r="M972" s="3" t="n"/>
      <c r="N972" s="3" t="n"/>
    </row>
    <row r="973">
      <c r="A973" s="3" t="n"/>
      <c r="B973" s="3" t="n"/>
      <c r="C973" s="3" t="n"/>
      <c r="D973" s="3" t="n"/>
      <c r="E973" s="3" t="n"/>
      <c r="F973" s="3" t="n"/>
      <c r="G973" s="3" t="n"/>
      <c r="H973" s="3" t="n"/>
      <c r="I973" s="3" t="n"/>
      <c r="J973" s="3" t="n"/>
      <c r="K973" s="3" t="n"/>
      <c r="L973" s="3" t="n"/>
      <c r="M973" s="3" t="n"/>
      <c r="N973" s="3" t="n"/>
    </row>
    <row r="974">
      <c r="A974" s="3" t="n"/>
      <c r="B974" s="3" t="n"/>
      <c r="C974" s="3" t="n"/>
      <c r="D974" s="3" t="n"/>
      <c r="E974" s="3" t="n"/>
      <c r="F974" s="3" t="n"/>
      <c r="G974" s="3" t="n"/>
      <c r="H974" s="3" t="n"/>
      <c r="I974" s="3" t="n"/>
      <c r="J974" s="3" t="n"/>
      <c r="K974" s="3" t="n"/>
      <c r="L974" s="3" t="n"/>
      <c r="M974" s="3" t="n"/>
      <c r="N974" s="3" t="n"/>
    </row>
    <row r="975">
      <c r="A975" s="3" t="n"/>
      <c r="B975" s="3" t="n"/>
      <c r="C975" s="3" t="n"/>
      <c r="D975" s="3" t="n"/>
      <c r="E975" s="3" t="n"/>
      <c r="F975" s="3" t="n"/>
      <c r="G975" s="3" t="n"/>
      <c r="H975" s="3" t="n"/>
      <c r="I975" s="3" t="n"/>
      <c r="J975" s="3" t="n"/>
      <c r="K975" s="3" t="n"/>
      <c r="L975" s="3" t="n"/>
      <c r="M975" s="3" t="n"/>
      <c r="N975" s="3" t="n"/>
    </row>
    <row r="976">
      <c r="A976" s="3" t="n"/>
      <c r="B976" s="3" t="n"/>
      <c r="C976" s="3" t="n"/>
      <c r="D976" s="3" t="n"/>
      <c r="E976" s="3" t="n"/>
      <c r="F976" s="3" t="n"/>
      <c r="G976" s="3" t="n"/>
      <c r="H976" s="3" t="n"/>
      <c r="I976" s="3" t="n"/>
      <c r="J976" s="3" t="n"/>
      <c r="K976" s="3" t="n"/>
      <c r="L976" s="3" t="n"/>
      <c r="M976" s="3" t="n"/>
      <c r="N976" s="3" t="n"/>
    </row>
    <row r="977">
      <c r="A977" s="3" t="n"/>
      <c r="B977" s="3" t="n"/>
      <c r="C977" s="3" t="n"/>
      <c r="D977" s="3" t="n"/>
      <c r="E977" s="3" t="n"/>
      <c r="F977" s="3" t="n"/>
      <c r="G977" s="3" t="n"/>
      <c r="H977" s="3" t="n"/>
      <c r="I977" s="3" t="n"/>
      <c r="J977" s="3" t="n"/>
      <c r="K977" s="3" t="n"/>
      <c r="L977" s="3" t="n"/>
      <c r="M977" s="3" t="n"/>
      <c r="N977" s="3" t="n"/>
    </row>
    <row r="978">
      <c r="A978" s="3" t="n"/>
      <c r="B978" s="3" t="n"/>
      <c r="C978" s="3" t="n"/>
      <c r="D978" s="3" t="n"/>
      <c r="E978" s="3" t="n"/>
      <c r="F978" s="3" t="n"/>
      <c r="G978" s="3" t="n"/>
      <c r="H978" s="3" t="n"/>
      <c r="I978" s="3" t="n"/>
      <c r="J978" s="3" t="n"/>
      <c r="K978" s="3" t="n"/>
      <c r="L978" s="3" t="n"/>
      <c r="M978" s="3" t="n"/>
      <c r="N978" s="3" t="n"/>
    </row>
    <row r="979">
      <c r="A979" s="3" t="n"/>
      <c r="B979" s="3" t="n"/>
      <c r="C979" s="3" t="n"/>
      <c r="D979" s="3" t="n"/>
      <c r="E979" s="3" t="n"/>
      <c r="F979" s="3" t="n"/>
      <c r="G979" s="3" t="n"/>
      <c r="H979" s="3" t="n"/>
      <c r="I979" s="3" t="n"/>
      <c r="J979" s="3" t="n"/>
      <c r="K979" s="3" t="n"/>
      <c r="L979" s="3" t="n"/>
      <c r="M979" s="3" t="n"/>
      <c r="N979" s="3" t="n"/>
    </row>
    <row r="980">
      <c r="A980" s="3" t="n"/>
      <c r="B980" s="3" t="n"/>
      <c r="C980" s="3" t="n"/>
      <c r="D980" s="3" t="n"/>
      <c r="E980" s="3" t="n"/>
      <c r="F980" s="3" t="n"/>
      <c r="G980" s="3" t="n"/>
      <c r="H980" s="3" t="n"/>
      <c r="I980" s="3" t="n"/>
      <c r="J980" s="3" t="n"/>
      <c r="K980" s="3" t="n"/>
      <c r="L980" s="3" t="n"/>
      <c r="M980" s="3" t="n"/>
      <c r="N980" s="3" t="n"/>
    </row>
    <row r="981">
      <c r="A981" s="3" t="n"/>
      <c r="B981" s="3" t="n"/>
      <c r="C981" s="3" t="n"/>
      <c r="D981" s="3" t="n"/>
      <c r="E981" s="3" t="n"/>
      <c r="F981" s="3" t="n"/>
      <c r="G981" s="3" t="n"/>
      <c r="H981" s="3" t="n"/>
      <c r="I981" s="3" t="n"/>
      <c r="J981" s="3" t="n"/>
      <c r="K981" s="3" t="n"/>
      <c r="L981" s="3" t="n"/>
      <c r="M981" s="3" t="n"/>
      <c r="N981" s="3" t="n"/>
    </row>
    <row r="982">
      <c r="A982" s="3" t="n"/>
      <c r="B982" s="3" t="n"/>
      <c r="C982" s="3" t="n"/>
      <c r="D982" s="3" t="n"/>
      <c r="E982" s="3" t="n"/>
      <c r="F982" s="3" t="n"/>
      <c r="G982" s="3" t="n"/>
      <c r="H982" s="3" t="n"/>
      <c r="I982" s="3" t="n"/>
      <c r="J982" s="3" t="n"/>
      <c r="K982" s="3" t="n"/>
      <c r="L982" s="3" t="n"/>
      <c r="M982" s="3" t="n"/>
      <c r="N982" s="3" t="n"/>
    </row>
    <row r="983">
      <c r="A983" s="3" t="n"/>
      <c r="B983" s="3" t="n"/>
      <c r="C983" s="3" t="n"/>
      <c r="D983" s="3" t="n"/>
      <c r="E983" s="3" t="n"/>
      <c r="F983" s="3" t="n"/>
      <c r="G983" s="3" t="n"/>
      <c r="H983" s="3" t="n"/>
      <c r="I983" s="3" t="n"/>
      <c r="J983" s="3" t="n"/>
      <c r="K983" s="3" t="n"/>
      <c r="L983" s="3" t="n"/>
      <c r="M983" s="3" t="n"/>
      <c r="N983" s="3" t="n"/>
    </row>
    <row r="984">
      <c r="A984" s="3" t="n"/>
      <c r="B984" s="3" t="n"/>
      <c r="C984" s="3" t="n"/>
      <c r="D984" s="3" t="n"/>
      <c r="E984" s="3" t="n"/>
      <c r="F984" s="3" t="n"/>
      <c r="G984" s="3" t="n"/>
      <c r="H984" s="3" t="n"/>
      <c r="I984" s="3" t="n"/>
      <c r="J984" s="3" t="n"/>
      <c r="K984" s="3" t="n"/>
      <c r="L984" s="3" t="n"/>
      <c r="M984" s="3" t="n"/>
      <c r="N984" s="3" t="n"/>
    </row>
    <row r="985">
      <c r="A985" s="3" t="n"/>
      <c r="B985" s="3" t="n"/>
      <c r="C985" s="3" t="n"/>
      <c r="D985" s="3" t="n"/>
      <c r="E985" s="3" t="n"/>
      <c r="F985" s="3" t="n"/>
      <c r="G985" s="3" t="n"/>
      <c r="H985" s="3" t="n"/>
      <c r="I985" s="3" t="n"/>
      <c r="J985" s="3" t="n"/>
      <c r="K985" s="3" t="n"/>
      <c r="L985" s="3" t="n"/>
      <c r="M985" s="3" t="n"/>
      <c r="N985" s="3" t="n"/>
    </row>
    <row r="986">
      <c r="A986" s="3" t="n"/>
      <c r="B986" s="3" t="n"/>
      <c r="C986" s="3" t="n"/>
      <c r="D986" s="3" t="n"/>
      <c r="E986" s="3" t="n"/>
      <c r="F986" s="3" t="n"/>
      <c r="G986" s="3" t="n"/>
      <c r="H986" s="3" t="n"/>
      <c r="I986" s="3" t="n"/>
      <c r="J986" s="3" t="n"/>
      <c r="K986" s="3" t="n"/>
      <c r="L986" s="3" t="n"/>
      <c r="M986" s="3" t="n"/>
      <c r="N986" s="3" t="n"/>
    </row>
    <row r="987">
      <c r="A987" s="3" t="n"/>
      <c r="B987" s="3" t="n"/>
      <c r="C987" s="3" t="n"/>
      <c r="D987" s="3" t="n"/>
      <c r="E987" s="3" t="n"/>
      <c r="F987" s="3" t="n"/>
      <c r="G987" s="3" t="n"/>
      <c r="H987" s="3" t="n"/>
      <c r="I987" s="3" t="n"/>
      <c r="J987" s="3" t="n"/>
      <c r="K987" s="3" t="n"/>
      <c r="L987" s="3" t="n"/>
      <c r="M987" s="3" t="n"/>
      <c r="N987" s="3" t="n"/>
    </row>
    <row r="988">
      <c r="A988" s="3" t="n"/>
      <c r="B988" s="3" t="n"/>
      <c r="C988" s="3" t="n"/>
      <c r="D988" s="3" t="n"/>
      <c r="E988" s="3" t="n"/>
      <c r="F988" s="3" t="n"/>
      <c r="G988" s="3" t="n"/>
      <c r="H988" s="3" t="n"/>
      <c r="I988" s="3" t="n"/>
      <c r="J988" s="3" t="n"/>
      <c r="K988" s="3" t="n"/>
      <c r="L988" s="3" t="n"/>
      <c r="M988" s="3" t="n"/>
      <c r="N988" s="3" t="n"/>
    </row>
    <row r="989">
      <c r="A989" s="3" t="n"/>
      <c r="B989" s="3" t="n"/>
      <c r="C989" s="3" t="n"/>
      <c r="D989" s="3" t="n"/>
      <c r="E989" s="3" t="n"/>
      <c r="F989" s="3" t="n"/>
      <c r="G989" s="3" t="n"/>
      <c r="H989" s="3" t="n"/>
      <c r="I989" s="3" t="n"/>
      <c r="J989" s="3" t="n"/>
      <c r="K989" s="3" t="n"/>
      <c r="L989" s="3" t="n"/>
      <c r="M989" s="3" t="n"/>
      <c r="N989" s="3" t="n"/>
    </row>
    <row r="990">
      <c r="A990" s="3" t="n"/>
      <c r="B990" s="3" t="n"/>
      <c r="C990" s="3" t="n"/>
      <c r="D990" s="3" t="n"/>
      <c r="E990" s="3" t="n"/>
      <c r="F990" s="3" t="n"/>
      <c r="G990" s="3" t="n"/>
      <c r="H990" s="3" t="n"/>
      <c r="I990" s="3" t="n"/>
      <c r="J990" s="3" t="n"/>
      <c r="K990" s="3" t="n"/>
      <c r="L990" s="3" t="n"/>
      <c r="M990" s="3" t="n"/>
      <c r="N990" s="3" t="n"/>
    </row>
    <row r="991">
      <c r="A991" s="3" t="n"/>
      <c r="B991" s="3" t="n"/>
      <c r="C991" s="3" t="n"/>
      <c r="D991" s="3" t="n"/>
      <c r="E991" s="3" t="n"/>
      <c r="F991" s="3" t="n"/>
      <c r="G991" s="3" t="n"/>
      <c r="H991" s="3" t="n"/>
      <c r="I991" s="3" t="n"/>
      <c r="J991" s="3" t="n"/>
      <c r="K991" s="3" t="n"/>
      <c r="L991" s="3" t="n"/>
      <c r="M991" s="3" t="n"/>
      <c r="N991" s="3" t="n"/>
    </row>
    <row r="992">
      <c r="A992" s="3" t="n"/>
      <c r="B992" s="3" t="n"/>
      <c r="C992" s="3" t="n"/>
      <c r="D992" s="3" t="n"/>
      <c r="E992" s="3" t="n"/>
      <c r="F992" s="3" t="n"/>
      <c r="G992" s="3" t="n"/>
      <c r="H992" s="3" t="n"/>
      <c r="I992" s="3" t="n"/>
      <c r="J992" s="3" t="n"/>
      <c r="K992" s="3" t="n"/>
      <c r="L992" s="3" t="n"/>
      <c r="M992" s="3" t="n"/>
      <c r="N992" s="3" t="n"/>
    </row>
    <row r="993">
      <c r="A993" s="3" t="n"/>
      <c r="B993" s="3" t="n"/>
      <c r="C993" s="3" t="n"/>
      <c r="D993" s="3" t="n"/>
      <c r="E993" s="3" t="n"/>
      <c r="F993" s="3" t="n"/>
      <c r="G993" s="3" t="n"/>
      <c r="H993" s="3" t="n"/>
      <c r="I993" s="3" t="n"/>
      <c r="J993" s="3" t="n"/>
      <c r="K993" s="3" t="n"/>
      <c r="L993" s="3" t="n"/>
      <c r="M993" s="3" t="n"/>
      <c r="N993" s="3" t="n"/>
    </row>
    <row r="994">
      <c r="A994" s="3" t="n"/>
      <c r="B994" s="3" t="n"/>
      <c r="C994" s="3" t="n"/>
      <c r="D994" s="3" t="n"/>
      <c r="E994" s="3" t="n"/>
      <c r="F994" s="3" t="n"/>
      <c r="G994" s="3" t="n"/>
      <c r="H994" s="3" t="n"/>
      <c r="I994" s="3" t="n"/>
      <c r="J994" s="3" t="n"/>
      <c r="K994" s="3" t="n"/>
      <c r="L994" s="3" t="n"/>
      <c r="M994" s="3" t="n"/>
      <c r="N994" s="3" t="n"/>
    </row>
    <row r="995">
      <c r="A995" s="3" t="n"/>
      <c r="B995" s="3" t="n"/>
      <c r="C995" s="3" t="n"/>
      <c r="D995" s="3" t="n"/>
      <c r="E995" s="3" t="n"/>
      <c r="F995" s="3" t="n"/>
      <c r="G995" s="3" t="n"/>
      <c r="H995" s="3" t="n"/>
      <c r="I995" s="3" t="n"/>
      <c r="J995" s="3" t="n"/>
      <c r="K995" s="3" t="n"/>
      <c r="L995" s="3" t="n"/>
      <c r="M995" s="3" t="n"/>
      <c r="N995" s="3" t="n"/>
    </row>
    <row r="996">
      <c r="A996" s="3" t="n"/>
      <c r="B996" s="3" t="n"/>
      <c r="C996" s="3" t="n"/>
      <c r="D996" s="3" t="n"/>
      <c r="E996" s="3" t="n"/>
      <c r="F996" s="3" t="n"/>
      <c r="G996" s="3" t="n"/>
      <c r="H996" s="3" t="n"/>
      <c r="I996" s="3" t="n"/>
      <c r="J996" s="3" t="n"/>
      <c r="K996" s="3" t="n"/>
      <c r="L996" s="3" t="n"/>
      <c r="M996" s="3" t="n"/>
      <c r="N996" s="3" t="n"/>
    </row>
    <row r="997">
      <c r="A997" s="3" t="n"/>
      <c r="B997" s="3" t="n"/>
      <c r="C997" s="3" t="n"/>
      <c r="D997" s="3" t="n"/>
      <c r="E997" s="3" t="n"/>
      <c r="F997" s="3" t="n"/>
      <c r="G997" s="3" t="n"/>
      <c r="H997" s="3" t="n"/>
      <c r="I997" s="3" t="n"/>
      <c r="J997" s="3" t="n"/>
      <c r="K997" s="3" t="n"/>
      <c r="L997" s="3" t="n"/>
      <c r="M997" s="3" t="n"/>
      <c r="N997" s="3" t="n"/>
    </row>
    <row r="998">
      <c r="A998" s="3" t="n"/>
      <c r="B998" s="3" t="n"/>
      <c r="C998" s="3" t="n"/>
      <c r="D998" s="3" t="n"/>
      <c r="E998" s="3" t="n"/>
      <c r="F998" s="3" t="n"/>
      <c r="G998" s="3" t="n"/>
      <c r="H998" s="3" t="n"/>
      <c r="I998" s="3" t="n"/>
      <c r="J998" s="3" t="n"/>
      <c r="K998" s="3" t="n"/>
      <c r="L998" s="3" t="n"/>
      <c r="M998" s="3" t="n"/>
      <c r="N998" s="3" t="n"/>
    </row>
    <row r="999">
      <c r="A999" s="3" t="n"/>
      <c r="B999" s="3" t="n"/>
      <c r="C999" s="3" t="n"/>
      <c r="D999" s="3" t="n"/>
      <c r="E999" s="3" t="n"/>
      <c r="F999" s="3" t="n"/>
      <c r="G999" s="3" t="n"/>
      <c r="H999" s="3" t="n"/>
      <c r="I999" s="3" t="n"/>
      <c r="J999" s="3" t="n"/>
      <c r="K999" s="3" t="n"/>
      <c r="L999" s="3" t="n"/>
      <c r="M999" s="3" t="n"/>
      <c r="N999" s="3" t="n"/>
    </row>
    <row r="1000">
      <c r="A1000" s="3" t="n"/>
      <c r="B1000" s="3" t="n"/>
      <c r="C1000" s="3" t="n"/>
      <c r="D1000" s="3" t="n"/>
      <c r="E1000" s="3" t="n"/>
      <c r="F1000" s="3" t="n"/>
      <c r="G1000" s="3" t="n"/>
      <c r="H1000" s="3" t="n"/>
      <c r="I1000" s="3" t="n"/>
      <c r="J1000" s="3" t="n"/>
      <c r="K1000" s="3" t="n"/>
      <c r="L1000" s="3" t="n"/>
      <c r="M1000" s="3" t="n"/>
      <c r="N1000" s="3" t="n"/>
    </row>
  </sheetData>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0" summaryRight="0"/>
    <pageSetUpPr/>
  </sheetPr>
  <dimension ref="A3:K21"/>
  <sheetViews>
    <sheetView workbookViewId="0">
      <selection activeCell="B9" sqref="B9"/>
    </sheetView>
  </sheetViews>
  <sheetFormatPr baseColWidth="10" defaultColWidth="12.5703125" defaultRowHeight="15.75" customHeight="1"/>
  <cols>
    <col width="14.42578125" customWidth="1" style="49" min="3" max="3"/>
    <col width="14.5703125" customWidth="1" style="49" min="6" max="6"/>
  </cols>
  <sheetData>
    <row r="3">
      <c r="A3" s="3" t="inlineStr"/>
      <c r="B3" s="3" t="inlineStr">
        <is>
          <t>VIDRIO</t>
        </is>
      </c>
      <c r="C3" s="3" t="inlineStr">
        <is>
          <t>PRECIO (M2)</t>
        </is>
      </c>
      <c r="D3" s="3" t="n"/>
      <c r="E3" s="3" t="inlineStr">
        <is>
          <t>CAMARA</t>
        </is>
      </c>
      <c r="F3" s="3" t="inlineStr">
        <is>
          <t>PRECIO (ML)</t>
        </is>
      </c>
      <c r="G3" s="3" t="n"/>
      <c r="H3" s="3" t="inlineStr">
        <is>
          <t>Valvula</t>
        </is>
      </c>
      <c r="I3" s="3" t="inlineStr">
        <is>
          <t>Precio</t>
        </is>
      </c>
      <c r="J3" s="3" t="n"/>
      <c r="K3" s="3" t="n"/>
    </row>
    <row r="4">
      <c r="A4" s="3" t="n"/>
      <c r="B4" s="3" t="inlineStr">
        <is>
          <t>FLOAT4</t>
        </is>
      </c>
      <c r="C4" s="16" t="n">
        <v>16110</v>
      </c>
      <c r="D4" s="3" t="n"/>
      <c r="E4" s="3" t="n">
        <v>6</v>
      </c>
      <c r="F4" s="16" t="n">
        <v>4760</v>
      </c>
      <c r="G4" s="3" t="n"/>
      <c r="H4" s="3" t="inlineStr">
        <is>
          <t>SI</t>
        </is>
      </c>
      <c r="I4" s="16" t="n">
        <v>6500</v>
      </c>
      <c r="J4" s="3" t="n"/>
      <c r="K4" s="3" t="n"/>
    </row>
    <row r="5">
      <c r="A5" s="3" t="n"/>
      <c r="B5" s="3" t="inlineStr">
        <is>
          <t>T4</t>
        </is>
      </c>
      <c r="C5" s="16" t="n">
        <v>29590</v>
      </c>
      <c r="D5" s="3" t="n"/>
      <c r="E5" s="3" t="n">
        <v>9</v>
      </c>
      <c r="F5" s="16" t="n">
        <v>4910</v>
      </c>
      <c r="G5" s="3" t="n"/>
      <c r="H5" s="3" t="inlineStr">
        <is>
          <t>NO</t>
        </is>
      </c>
      <c r="I5" s="16" t="n">
        <v>0</v>
      </c>
      <c r="J5" s="3" t="n"/>
      <c r="K5" s="3" t="n"/>
    </row>
    <row r="6">
      <c r="A6" s="3" t="n"/>
      <c r="B6" s="3" t="inlineStr">
        <is>
          <t>T5</t>
        </is>
      </c>
      <c r="C6" s="16" t="n">
        <v>33370</v>
      </c>
      <c r="D6" s="3" t="n"/>
      <c r="E6" s="3" t="n">
        <v>12</v>
      </c>
      <c r="F6" s="16" t="n">
        <v>6160</v>
      </c>
      <c r="G6" s="3" t="n"/>
      <c r="H6" s="3" t="n"/>
      <c r="I6" s="3" t="n"/>
      <c r="J6" s="3" t="n"/>
      <c r="K6" s="3" t="n"/>
    </row>
    <row r="7">
      <c r="A7" s="3" t="n"/>
      <c r="B7" s="3" t="inlineStr">
        <is>
          <t>T6</t>
        </is>
      </c>
      <c r="C7" s="16" t="n">
        <v>36150</v>
      </c>
      <c r="D7" s="3" t="n"/>
      <c r="E7" s="3" t="inlineStr">
        <is>
          <t>9p</t>
        </is>
      </c>
      <c r="F7" s="16" t="n">
        <v>2018.09954751131</v>
      </c>
      <c r="G7" s="3" t="n"/>
      <c r="H7" s="3" t="n"/>
      <c r="I7" s="3" t="n"/>
      <c r="J7" s="3" t="n"/>
      <c r="K7" s="3" t="n"/>
    </row>
    <row r="8">
      <c r="A8" s="3" t="n"/>
      <c r="B8" s="3" t="inlineStr">
        <is>
          <t>T8</t>
        </is>
      </c>
      <c r="C8" s="16" t="n">
        <v>44170</v>
      </c>
      <c r="D8" s="3" t="n"/>
      <c r="E8" s="3" t="n">
        <v>15</v>
      </c>
      <c r="F8" s="16" t="n">
        <v>10060</v>
      </c>
      <c r="G8" s="3" t="n"/>
      <c r="H8" s="3" t="n"/>
      <c r="I8" s="3" t="n"/>
      <c r="J8" s="3" t="n"/>
      <c r="K8" s="3" t="n"/>
    </row>
    <row r="9">
      <c r="A9" s="3" t="n"/>
      <c r="B9" s="3" t="inlineStr">
        <is>
          <t>T10</t>
        </is>
      </c>
      <c r="C9" s="16" t="n">
        <v>50640</v>
      </c>
      <c r="D9" s="3" t="n"/>
      <c r="E9" s="3" t="n">
        <v>0</v>
      </c>
      <c r="F9" s="16" t="n">
        <v>0</v>
      </c>
      <c r="G9" s="3" t="n"/>
      <c r="H9" s="3" t="n"/>
      <c r="I9" s="3" t="n"/>
      <c r="J9" s="3" t="n"/>
      <c r="K9" s="3" t="n"/>
    </row>
    <row r="10">
      <c r="A10" s="3" t="n"/>
      <c r="B10" s="3" t="inlineStr">
        <is>
          <t>LAMIN3+3</t>
        </is>
      </c>
      <c r="C10" s="16" t="n">
        <v>40030</v>
      </c>
      <c r="D10" s="3" t="n"/>
      <c r="E10" s="3" t="n"/>
      <c r="F10" s="3" t="n"/>
      <c r="G10" s="3" t="n"/>
      <c r="H10" s="3" t="n"/>
      <c r="I10" s="3" t="n"/>
      <c r="J10" s="3" t="n"/>
      <c r="K10" s="3" t="n"/>
    </row>
    <row r="11">
      <c r="A11" s="3" t="n"/>
      <c r="B11" s="3" t="inlineStr">
        <is>
          <t>LAMIN3+3OP</t>
        </is>
      </c>
      <c r="C11" s="16" t="n">
        <v>70660</v>
      </c>
      <c r="D11" s="3" t="n"/>
      <c r="E11" s="3" t="n"/>
      <c r="F11" s="3" t="n"/>
      <c r="G11" s="3" t="n"/>
      <c r="H11" s="3" t="n"/>
      <c r="I11" s="3" t="n"/>
      <c r="J11" s="3" t="n"/>
      <c r="K11" s="3" t="n"/>
    </row>
    <row r="12">
      <c r="A12" s="3" t="n"/>
      <c r="B12" s="3" t="inlineStr">
        <is>
          <t>VIDRIO</t>
        </is>
      </c>
      <c r="C12" s="16" t="n">
        <v>0</v>
      </c>
      <c r="D12" s="3" t="n"/>
      <c r="E12" s="3" t="n"/>
      <c r="F12" s="3" t="n"/>
      <c r="G12" s="3" t="n"/>
      <c r="H12" s="3" t="n"/>
      <c r="I12" s="3" t="n"/>
      <c r="J12" s="3" t="n"/>
      <c r="K12" s="3" t="n"/>
    </row>
    <row r="13">
      <c r="A13" s="3" t="n"/>
      <c r="B13" s="3" t="inlineStr">
        <is>
          <t>SN6mm</t>
        </is>
      </c>
      <c r="C13" s="16" t="n">
        <v>55630</v>
      </c>
      <c r="D13" s="3" t="n"/>
      <c r="E13" s="3" t="n"/>
      <c r="F13" s="3" t="n"/>
      <c r="G13" s="3" t="n"/>
      <c r="H13" s="3" t="n"/>
      <c r="I13" s="3" t="n"/>
      <c r="J13" s="3" t="n"/>
      <c r="K13" s="3" t="n"/>
    </row>
    <row r="14">
      <c r="A14" s="3" t="n"/>
      <c r="B14" s="3" t="inlineStr">
        <is>
          <t>CL6mm</t>
        </is>
      </c>
      <c r="C14" s="16" t="n">
        <v>87000</v>
      </c>
      <c r="D14" s="3" t="n"/>
      <c r="E14" s="3" t="n"/>
      <c r="F14" s="3" t="n"/>
      <c r="G14" s="3" t="n"/>
      <c r="H14" s="3" t="n"/>
      <c r="I14" s="3" t="n"/>
      <c r="J14" s="3" t="n"/>
      <c r="K14" s="3" t="n"/>
    </row>
    <row r="15">
      <c r="A15" s="3" t="n"/>
      <c r="B15" s="3" t="inlineStr">
        <is>
          <t>P4</t>
        </is>
      </c>
      <c r="C15" s="16" t="n">
        <v>27070</v>
      </c>
      <c r="D15" s="3" t="n"/>
      <c r="E15" s="3" t="n"/>
      <c r="F15" s="3" t="n"/>
      <c r="G15" s="3" t="n"/>
      <c r="H15" s="3" t="n"/>
      <c r="I15" s="3" t="n"/>
      <c r="J15" s="3" t="n"/>
      <c r="K15" s="3" t="n"/>
    </row>
    <row r="16">
      <c r="A16" s="3" t="n"/>
      <c r="B16" s="3" t="inlineStr">
        <is>
          <t>FLOAT4p</t>
        </is>
      </c>
      <c r="C16" s="16" t="n">
        <v>11525</v>
      </c>
      <c r="D16" s="3" t="n"/>
      <c r="E16" s="3" t="n"/>
      <c r="F16" s="3" t="n"/>
      <c r="G16" s="3" t="n"/>
      <c r="H16" s="3" t="n"/>
      <c r="I16" s="3" t="n"/>
      <c r="J16" s="3" t="n"/>
      <c r="K16" s="3" t="n"/>
    </row>
    <row r="17">
      <c r="A17" s="3" t="n"/>
      <c r="B17" s="3" t="inlineStr">
        <is>
          <t>LAMIN3+3p</t>
        </is>
      </c>
      <c r="C17" s="16" t="n">
        <v>29808.2352941176</v>
      </c>
      <c r="D17" s="3" t="n"/>
      <c r="E17" s="3" t="n"/>
      <c r="F17" s="3" t="n"/>
      <c r="G17" s="3" t="n"/>
      <c r="H17" s="3" t="n"/>
      <c r="I17" s="3" t="n"/>
      <c r="J17" s="3" t="n"/>
      <c r="K17" s="3" t="n"/>
    </row>
    <row r="18">
      <c r="A18" s="3" t="n"/>
      <c r="B18" s="3" t="n"/>
      <c r="C18" s="3" t="n"/>
      <c r="D18" s="3" t="n"/>
      <c r="E18" s="3" t="n"/>
      <c r="F18" s="3" t="n"/>
      <c r="G18" s="3" t="n"/>
      <c r="H18" s="3" t="n"/>
      <c r="I18" s="3" t="n"/>
      <c r="J18" s="3" t="n"/>
      <c r="K18" s="3" t="n"/>
    </row>
    <row r="19">
      <c r="A19" s="3" t="n"/>
      <c r="B19" s="3" t="n"/>
      <c r="C19" s="3" t="n"/>
      <c r="D19" s="3" t="n"/>
      <c r="E19" s="3" t="n"/>
      <c r="F19" s="3" t="n"/>
      <c r="G19" s="3" t="n"/>
      <c r="H19" s="3" t="n"/>
      <c r="I19" s="3" t="n"/>
      <c r="J19" s="3" t="n"/>
      <c r="K19" s="3" t="n"/>
    </row>
    <row r="20">
      <c r="A20" s="3" t="n"/>
      <c r="B20" s="3" t="n"/>
      <c r="C20" s="3" t="n"/>
      <c r="D20" s="3" t="n"/>
      <c r="E20" s="3" t="n"/>
      <c r="F20" s="3" t="n"/>
      <c r="G20" s="3" t="n"/>
      <c r="H20" s="3" t="n"/>
      <c r="I20" s="3" t="n"/>
      <c r="J20" s="3" t="n"/>
      <c r="K20" s="3" t="n"/>
    </row>
    <row r="21">
      <c r="A21" s="3" t="n"/>
      <c r="B21" s="3" t="n"/>
      <c r="C21" s="3" t="n"/>
      <c r="D21" s="3" t="n"/>
      <c r="E21" s="3" t="n"/>
      <c r="F21" s="3" t="n"/>
      <c r="G21" s="3" t="n"/>
      <c r="H21" s="3" t="n"/>
      <c r="I21" s="3" t="n"/>
      <c r="J21" s="3" t="n"/>
      <c r="K21" s="3" t="n"/>
    </row>
  </sheetData>
  <pageMargins left="0.75" right="0.75" top="1" bottom="1" header="0.5" footer="0.5"/>
  <tableParts count="3">
    <tablePart xmlns:r="http://schemas.openxmlformats.org/officeDocument/2006/relationships" r:id="rId1"/>
    <tablePart xmlns:r="http://schemas.openxmlformats.org/officeDocument/2006/relationships" r:id="rId2"/>
    <tablePart xmlns:r="http://schemas.openxmlformats.org/officeDocument/2006/relationships" r:id="rId3"/>
  </tableParts>
</worksheet>
</file>

<file path=xl/worksheets/sheet4.xml><?xml version="1.0" encoding="utf-8"?>
<worksheet xmlns="http://schemas.openxmlformats.org/spreadsheetml/2006/main">
  <sheetPr>
    <outlinePr summaryBelow="0" summaryRight="0"/>
    <pageSetUpPr/>
  </sheetPr>
  <dimension ref="B3:W179"/>
  <sheetViews>
    <sheetView workbookViewId="0">
      <selection activeCell="A1" sqref="A1"/>
    </sheetView>
  </sheetViews>
  <sheetFormatPr baseColWidth="10" defaultColWidth="12.5703125" defaultRowHeight="15.75" customHeight="1"/>
  <cols>
    <col width="12.7109375" customWidth="1" style="49" min="3" max="3"/>
    <col width="9.42578125" customWidth="1" style="49" min="4" max="4"/>
    <col width="9" customWidth="1" style="49" min="5" max="5"/>
    <col width="8.140625" customWidth="1" style="49" min="6" max="6"/>
    <col width="14.42578125" customWidth="1" style="49" min="7" max="7"/>
    <col width="15.28515625" customWidth="1" style="49" min="8" max="8"/>
    <col width="14.28515625" customWidth="1" style="49" min="11" max="11"/>
  </cols>
  <sheetData>
    <row r="3">
      <c r="B3" s="23" t="inlineStr">
        <is>
          <t>Codigo</t>
        </is>
      </c>
      <c r="C3" s="24" t="inlineStr">
        <is>
          <t>Color</t>
        </is>
      </c>
      <c r="D3" s="24" t="inlineStr">
        <is>
          <t>Largo retazo</t>
        </is>
      </c>
      <c r="E3" s="24" t="inlineStr">
        <is>
          <t>Cantidad</t>
        </is>
      </c>
      <c r="F3" s="25" t="inlineStr">
        <is>
          <t>Bonificacion</t>
        </is>
      </c>
      <c r="G3" s="24" t="inlineStr">
        <is>
          <t>Precio barra</t>
        </is>
      </c>
      <c r="H3" s="26" t="inlineStr">
        <is>
          <t>Precio retazo</t>
        </is>
      </c>
      <c r="J3" s="27" t="inlineStr">
        <is>
          <t>Total retazo</t>
        </is>
      </c>
      <c r="K3" s="27" t="inlineStr">
        <is>
          <t>Total retazo S/IVA</t>
        </is>
      </c>
      <c r="N3" s="23" t="inlineStr">
        <is>
          <t>Codigo</t>
        </is>
      </c>
      <c r="O3" s="24" t="inlineStr">
        <is>
          <t>Color</t>
        </is>
      </c>
      <c r="P3" s="24" t="inlineStr">
        <is>
          <t>Largo retazo</t>
        </is>
      </c>
      <c r="Q3" s="24" t="inlineStr">
        <is>
          <t>Cantidad</t>
        </is>
      </c>
      <c r="R3" s="25" t="inlineStr">
        <is>
          <t>Bonificacion</t>
        </is>
      </c>
      <c r="S3" s="24" t="inlineStr">
        <is>
          <t>Precio barra</t>
        </is>
      </c>
      <c r="T3" s="26" t="inlineStr">
        <is>
          <t>Precio retazo</t>
        </is>
      </c>
      <c r="V3" s="27" t="inlineStr">
        <is>
          <t>Total retazo</t>
        </is>
      </c>
      <c r="W3" s="27" t="inlineStr">
        <is>
          <t>Total retazo S/IVA</t>
        </is>
      </c>
    </row>
    <row r="4">
      <c r="B4" s="28" t="n">
        <v>200</v>
      </c>
      <c r="C4" s="29" t="inlineStr">
        <is>
          <t>Negro</t>
        </is>
      </c>
      <c r="D4" s="28" t="n">
        <v>4792</v>
      </c>
      <c r="E4" s="30" t="n">
        <v>0</v>
      </c>
      <c r="F4" s="31" t="n">
        <v>0.1</v>
      </c>
      <c r="G4" s="32">
        <f>IF(B4="","",IF(C4="negro",VLOOKUP(B4,'Base perfiles'!$A$3:$O$200,8,),IF(C4="blanco",VLOOKUP(B4,'Base perfiles'!$A$3:$O$200,7),IF(C4="ANODIZADO",VLOOKUP(B4,'Base perfiles'!$A$3:$O$200,6)))))</f>
        <v/>
      </c>
      <c r="H4" s="33">
        <f>IF(G4="","",D4*E4/VLOOKUP(B4,'Base perfiles'!$A$3:$O$200,3,)*G4*(1-F4)*1.105)</f>
        <v/>
      </c>
      <c r="J4" s="10">
        <f>SUM(Tabla_1[Precio retazo])</f>
        <v/>
      </c>
      <c r="K4" s="10">
        <f>J4/1.105</f>
        <v/>
      </c>
      <c r="N4" s="28" t="n">
        <v>6501</v>
      </c>
      <c r="O4" s="29" t="inlineStr">
        <is>
          <t>Negro</t>
        </is>
      </c>
      <c r="P4" s="28" t="n">
        <v>2920</v>
      </c>
      <c r="Q4" s="30" t="n">
        <v>0</v>
      </c>
      <c r="R4" s="31" t="n">
        <v>0.1</v>
      </c>
      <c r="S4" s="32">
        <f>IF(N4="","",IF(O4="negro",VLOOKUP(N4,'Base perfiles'!$A$3:$O$200,8,),IF(O4="blanco",VLOOKUP(N4,'Base perfiles'!$A$3:$O$200,7),IF(O4="ANODIZADO",VLOOKUP(N4,'Base perfiles'!$A$3:$O$200,6)))))</f>
        <v/>
      </c>
      <c r="T4" s="33">
        <f>IF(S4="","",P4*Q4/VLOOKUP(N4,'Base perfiles'!$A$3:$O$200,3,)*S4*(1-R4)*1.105)</f>
        <v/>
      </c>
      <c r="V4" s="10">
        <f>SUM(Tabla_7[Precio retazo])</f>
        <v/>
      </c>
      <c r="W4" s="10">
        <f>V4/1.105</f>
        <v/>
      </c>
    </row>
    <row r="5">
      <c r="B5" s="28" t="n">
        <v>201</v>
      </c>
      <c r="C5" s="29" t="inlineStr">
        <is>
          <t>Negro</t>
        </is>
      </c>
      <c r="D5" s="28" t="n">
        <v>2745</v>
      </c>
      <c r="E5" s="30" t="n">
        <v>0</v>
      </c>
      <c r="F5" s="31" t="n">
        <v>0.1</v>
      </c>
      <c r="G5" s="32">
        <f>IF(B5="","",IF(C5="negro",VLOOKUP(B5,'Base perfiles'!$A$3:$O$200,8,),IF(C5="blanco",VLOOKUP(B5,'Base perfiles'!$A$3:$O$200,7),IF(C5="ANODIZADO",VLOOKUP(B5,'Base perfiles'!$A$3:$O$200,6)))))</f>
        <v/>
      </c>
      <c r="H5" s="33">
        <f>IF(G5="","",D5*E5/VLOOKUP(B5,'Base perfiles'!$A$3:$O$200,3,)*G5*(1-F5)*1.105)</f>
        <v/>
      </c>
      <c r="N5" s="28" t="n">
        <v>6502</v>
      </c>
      <c r="O5" s="29" t="inlineStr">
        <is>
          <t>Negro</t>
        </is>
      </c>
      <c r="P5" s="28" t="n">
        <v>2920</v>
      </c>
      <c r="Q5" s="30" t="n">
        <v>0</v>
      </c>
      <c r="R5" s="31" t="n">
        <v>0.1</v>
      </c>
      <c r="S5" s="32">
        <f>IF(N5="","",IF(O5="negro",VLOOKUP(N5,'Base perfiles'!$A$3:$O$200,8,),IF(O5="blanco",VLOOKUP(N5,'Base perfiles'!$A$3:$O$200,7),IF(O5="ANODIZADO",VLOOKUP(N5,'Base perfiles'!$A$3:$O$200,6)))))</f>
        <v/>
      </c>
      <c r="T5" s="33">
        <f>IF(S5="","",P5*Q5/VLOOKUP(N5,'Base perfiles'!$A$3:$O$200,3,)*S5*(1-R5)*1.105)</f>
        <v/>
      </c>
    </row>
    <row r="6">
      <c r="B6" s="28" t="n">
        <v>203</v>
      </c>
      <c r="C6" s="29" t="inlineStr">
        <is>
          <t>Negro</t>
        </is>
      </c>
      <c r="D6" s="28" t="n">
        <v>4051</v>
      </c>
      <c r="E6" s="30" t="n">
        <v>0</v>
      </c>
      <c r="F6" s="31" t="n">
        <v>0.1</v>
      </c>
      <c r="G6" s="32">
        <f>IF(B6="","",IF(C6="negro",VLOOKUP(B6,'Base perfiles'!$A$3:$O$200,8,),IF(C6="blanco",VLOOKUP(B6,'Base perfiles'!$A$3:$O$200,7),IF(C6="ANODIZADO",VLOOKUP(B6,'Base perfiles'!$A$3:$O$200,6)))))</f>
        <v/>
      </c>
      <c r="H6" s="33">
        <f>IF(G6="","",D6*E6/VLOOKUP(B6,'Base perfiles'!$A$3:$O$200,3,)*G6*(1-F6)*1.105)</f>
        <v/>
      </c>
      <c r="N6" s="28" t="n">
        <v>6512</v>
      </c>
      <c r="O6" s="29" t="inlineStr">
        <is>
          <t>Negro</t>
        </is>
      </c>
      <c r="P6" s="28" t="n">
        <v>4643</v>
      </c>
      <c r="Q6" s="30" t="n">
        <v>0</v>
      </c>
      <c r="R6" s="31" t="n">
        <v>0.1</v>
      </c>
      <c r="S6" s="32">
        <f>IF(N6="","",IF(O6="negro",VLOOKUP(N6,'Base perfiles'!$A$3:$O$200,8,),IF(O6="blanco",VLOOKUP(N6,'Base perfiles'!$A$3:$O$200,7),IF(O6="ANODIZADO",VLOOKUP(N6,'Base perfiles'!$A$3:$O$200,6)))))</f>
        <v/>
      </c>
      <c r="T6" s="33">
        <f>IF(S6="","",P6*Q6/VLOOKUP(N6,'Base perfiles'!$A$3:$O$200,3,)*S6*(1-R6)*1.105)</f>
        <v/>
      </c>
    </row>
    <row r="7">
      <c r="B7" s="28" t="n">
        <v>206</v>
      </c>
      <c r="C7" s="29" t="inlineStr">
        <is>
          <t>Negro</t>
        </is>
      </c>
      <c r="D7" s="28" t="n">
        <v>3696</v>
      </c>
      <c r="E7" s="30" t="n">
        <v>0</v>
      </c>
      <c r="F7" s="31" t="n">
        <v>0.1</v>
      </c>
      <c r="G7" s="32">
        <f>IF(B7="","",IF(C7="negro",VLOOKUP(B7,'Base perfiles'!$A$3:$O$200,8,),IF(C7="blanco",VLOOKUP(B7,'Base perfiles'!$A$3:$O$200,7),IF(C7="ANODIZADO",VLOOKUP(B7,'Base perfiles'!$A$3:$O$200,6)))))</f>
        <v/>
      </c>
      <c r="H7" s="33">
        <f>IF(G7="","",D7*E7/VLOOKUP(B7,'Base perfiles'!$A$3:$O$200,3,)*G7*(1-F7)*1.105)</f>
        <v/>
      </c>
      <c r="N7" s="28" t="n">
        <v>6513</v>
      </c>
      <c r="O7" s="29" t="inlineStr">
        <is>
          <t>Negro</t>
        </is>
      </c>
      <c r="P7" s="28" t="n">
        <v>4643</v>
      </c>
      <c r="Q7" s="30" t="n">
        <v>0</v>
      </c>
      <c r="R7" s="31" t="n">
        <v>0.1</v>
      </c>
      <c r="S7" s="32">
        <f>IF(N7="","",IF(O7="negro",VLOOKUP(N7,'Base perfiles'!$A$3:$O$200,8,),IF(O7="blanco",VLOOKUP(N7,'Base perfiles'!$A$3:$O$200,7),IF(O7="ANODIZADO",VLOOKUP(N7,'Base perfiles'!$A$3:$O$200,6)))))</f>
        <v/>
      </c>
      <c r="T7" s="33">
        <f>IF(S7="","",P7*Q7/VLOOKUP(N7,'Base perfiles'!$A$3:$O$200,3,)*S7*(1-R7)*1.105)</f>
        <v/>
      </c>
    </row>
    <row r="8">
      <c r="B8" s="28" t="n">
        <v>207</v>
      </c>
      <c r="C8" s="29" t="inlineStr">
        <is>
          <t>Negro</t>
        </is>
      </c>
      <c r="D8" s="28" t="n">
        <v>4051</v>
      </c>
      <c r="E8" s="30" t="n">
        <v>0</v>
      </c>
      <c r="F8" s="31" t="n">
        <v>0.1</v>
      </c>
      <c r="G8" s="32">
        <f>IF(B8="","",IF(C8="negro",VLOOKUP(B8,'Base perfiles'!$A$3:$O$200,8,),IF(C8="blanco",VLOOKUP(B8,'Base perfiles'!$A$3:$O$200,7),IF(C8="ANODIZADO",VLOOKUP(B8,'Base perfiles'!$A$3:$O$200,6)))))</f>
        <v/>
      </c>
      <c r="H8" s="33">
        <f>IF(G8="","",D8*E8/VLOOKUP(B8,'Base perfiles'!$A$3:$O$200,3,)*G8*(1-F8)*1.105)</f>
        <v/>
      </c>
      <c r="J8" s="34" t="n"/>
      <c r="K8" s="16" t="n"/>
      <c r="N8" s="28" t="n">
        <v>6514</v>
      </c>
      <c r="O8" s="29" t="inlineStr">
        <is>
          <t>Negro</t>
        </is>
      </c>
      <c r="P8" s="28" t="n">
        <v>3686</v>
      </c>
      <c r="Q8" s="30" t="n">
        <v>0</v>
      </c>
      <c r="R8" s="31" t="n">
        <v>0.1</v>
      </c>
      <c r="S8" s="32">
        <f>IF(N8="","",IF(O8="negro",VLOOKUP(N8,'Base perfiles'!$A$3:$O$200,8,),IF(O8="blanco",VLOOKUP(N8,'Base perfiles'!$A$3:$O$200,7),IF(O8="ANODIZADO",VLOOKUP(N8,'Base perfiles'!$A$3:$O$200,6)))))</f>
        <v/>
      </c>
      <c r="T8" s="33">
        <f>IF(S8="","",P8*Q8/VLOOKUP(N8,'Base perfiles'!$A$3:$O$200,3,)*S8*(1-R8)*1.105)</f>
        <v/>
      </c>
    </row>
    <row r="9">
      <c r="B9" s="35" t="n">
        <v>213</v>
      </c>
      <c r="C9" s="29" t="inlineStr">
        <is>
          <t>Negro</t>
        </is>
      </c>
      <c r="D9" s="36" t="n">
        <v>5430</v>
      </c>
      <c r="E9" s="37" t="n">
        <v>0</v>
      </c>
      <c r="F9" s="38" t="n">
        <v>0.1</v>
      </c>
      <c r="G9" s="32">
        <f>IF(B9="","",IF(C9="negro",VLOOKUP(B9,'Base perfiles'!$A$3:$O$200,8,),IF(C9="blanco",VLOOKUP(B9,'Base perfiles'!$A$3:$O$200,7),IF(C9="ANODIZADO",VLOOKUP(B9,'Base perfiles'!$A$3:$O$200,6)))))</f>
        <v/>
      </c>
      <c r="H9" s="33">
        <f>IF(G9="","",D9*E9/VLOOKUP(B9,'Base perfiles'!$A$3:$O$200,3,)*G9*(1-F9)*1.105)</f>
        <v/>
      </c>
      <c r="J9" s="34" t="n"/>
      <c r="K9" s="16" t="n"/>
      <c r="N9" s="35" t="n"/>
      <c r="O9" s="29" t="n"/>
      <c r="P9" s="36" t="n"/>
      <c r="Q9" s="37" t="n"/>
      <c r="R9" s="38" t="n">
        <v>0.1</v>
      </c>
      <c r="S9" s="32">
        <f>IF(N9="","",IF(O9="negro",VLOOKUP(N9,'Base perfiles'!$A$3:$O$200,8,),IF(O9="blanco",VLOOKUP(N9,'Base perfiles'!$A$3:$O$200,7),IF(O9="ANODIZADO",VLOOKUP(N9,'Base perfiles'!$A$3:$O$200,6)))))</f>
        <v/>
      </c>
      <c r="T9" s="33">
        <f>IF(S9="","",P9*Q9/VLOOKUP(N9,'Base perfiles'!$A$3:$O$200,3,)*S9*(1-R9)*1.105)</f>
        <v/>
      </c>
    </row>
    <row r="10">
      <c r="B10" s="36" t="n">
        <v>216</v>
      </c>
      <c r="C10" s="29" t="inlineStr">
        <is>
          <t>Negro</t>
        </is>
      </c>
      <c r="D10" s="36" t="n">
        <v>3897</v>
      </c>
      <c r="E10" s="37" t="n">
        <v>0</v>
      </c>
      <c r="F10" s="38" t="n">
        <v>0.1</v>
      </c>
      <c r="G10" s="32">
        <f>IF(B10="","",IF(C10="negro",VLOOKUP(B10,'Base perfiles'!$A$3:$O$200,8,),IF(C10="blanco",VLOOKUP(B10,'Base perfiles'!$A$3:$O$200,7),IF(C10="ANODIZADO",VLOOKUP(B10,'Base perfiles'!$A$3:$O$200,6)))))</f>
        <v/>
      </c>
      <c r="H10" s="33">
        <f>IF(G10="","",D10*E10/VLOOKUP(B10,'Base perfiles'!$A$3:$O$200,3,)*G10*(1-F10)*1.105)</f>
        <v/>
      </c>
      <c r="K10" s="16">
        <f>SUM(H17:H19)/1.105</f>
        <v/>
      </c>
      <c r="N10" s="36" t="n"/>
      <c r="O10" s="29" t="n"/>
      <c r="P10" s="36" t="n"/>
      <c r="Q10" s="37" t="n"/>
      <c r="R10" s="38" t="n">
        <v>0.1</v>
      </c>
      <c r="S10" s="32">
        <f>IF(N10="","",IF(O10="negro",VLOOKUP(N10,'Base perfiles'!$A$3:$O$200,8,),IF(O10="blanco",VLOOKUP(N10,'Base perfiles'!$A$3:$O$200,7),IF(O10="ANODIZADO",VLOOKUP(N10,'Base perfiles'!$A$3:$O$200,6)))))</f>
        <v/>
      </c>
      <c r="T10" s="33">
        <f>IF(S10="","",P10*Q10/VLOOKUP(N10,'Base perfiles'!$A$3:$O$200,3,)*S10*(1-R10)*1.105)</f>
        <v/>
      </c>
    </row>
    <row r="11">
      <c r="B11" s="36" t="n">
        <v>217</v>
      </c>
      <c r="C11" s="29" t="inlineStr">
        <is>
          <t>Negro</t>
        </is>
      </c>
      <c r="D11" s="36" t="n">
        <v>4263</v>
      </c>
      <c r="E11" s="37" t="n">
        <v>0</v>
      </c>
      <c r="F11" s="38" t="n">
        <v>0.1</v>
      </c>
      <c r="G11" s="32">
        <f>IF(B11="","",IF(C11="negro",VLOOKUP(B11,'Base perfiles'!$A$3:$O$200,8,),IF(C11="blanco",VLOOKUP(B11,'Base perfiles'!$A$3:$O$200,7),IF(C11="ANODIZADO",VLOOKUP(B11,'Base perfiles'!$A$3:$O$200,6)))))</f>
        <v/>
      </c>
      <c r="H11" s="33">
        <f>IF(G11="","",D11*E11/VLOOKUP(B11,'Base perfiles'!$A$3:$O$200,3,)*G11*(1-F11)*1.105)</f>
        <v/>
      </c>
      <c r="J11" s="34" t="n"/>
      <c r="N11" s="36" t="n"/>
      <c r="O11" s="29" t="n"/>
      <c r="P11" s="36" t="n"/>
      <c r="Q11" s="37" t="n"/>
      <c r="R11" s="38" t="n">
        <v>0.1</v>
      </c>
      <c r="S11" s="32">
        <f>IF(N11="","",IF(O11="negro",VLOOKUP(N11,'Base perfiles'!$A$3:$O$200,8,),IF(O11="blanco",VLOOKUP(N11,'Base perfiles'!$A$3:$O$200,7),IF(O11="ANODIZADO",VLOOKUP(N11,'Base perfiles'!$A$3:$O$200,6)))))</f>
        <v/>
      </c>
      <c r="T11" s="33">
        <f>IF(S11="","",P11*Q11/VLOOKUP(N11,'Base perfiles'!$A$3:$O$200,3,)*S11*(1-R11)*1.105)</f>
        <v/>
      </c>
    </row>
    <row r="12">
      <c r="B12" s="36" t="n">
        <v>219</v>
      </c>
      <c r="C12" s="29" t="inlineStr">
        <is>
          <t>Negro</t>
        </is>
      </c>
      <c r="D12" s="36" t="n">
        <v>4807</v>
      </c>
      <c r="E12" s="37" t="n">
        <v>0</v>
      </c>
      <c r="F12" s="38" t="n">
        <v>0.1</v>
      </c>
      <c r="G12" s="32">
        <f>IF(B12="","",IF(C12="negro",VLOOKUP(B12,'Base perfiles'!$A$3:$O$200,8,),IF(C12="blanco",VLOOKUP(B12,'Base perfiles'!$A$3:$O$200,7),IF(C12="ANODIZADO",VLOOKUP(B12,'Base perfiles'!$A$3:$O$200,6)))))</f>
        <v/>
      </c>
      <c r="H12" s="33">
        <f>IF(G12="","",D12*E12/VLOOKUP(B12,'Base perfiles'!$A$3:$O$200,3,)*G12*(1-F12)*1.105)</f>
        <v/>
      </c>
      <c r="N12" s="36" t="n"/>
      <c r="O12" s="29" t="n"/>
      <c r="P12" s="36" t="n"/>
      <c r="Q12" s="37" t="n"/>
      <c r="R12" s="38" t="n">
        <v>0.1</v>
      </c>
      <c r="S12" s="32">
        <f>IF(N12="","",IF(O12="negro",VLOOKUP(N12,'Base perfiles'!$A$3:$O$200,8,),IF(O12="blanco",VLOOKUP(N12,'Base perfiles'!$A$3:$O$200,7),IF(O12="ANODIZADO",VLOOKUP(N12,'Base perfiles'!$A$3:$O$200,6)))))</f>
        <v/>
      </c>
      <c r="T12" s="33">
        <f>IF(S12="","",P12*Q12/VLOOKUP(N12,'Base perfiles'!$A$3:$O$200,3,)*S12*(1-R12)*1.105)</f>
        <v/>
      </c>
    </row>
    <row r="13">
      <c r="B13" s="36" t="n">
        <v>230</v>
      </c>
      <c r="C13" s="29" t="inlineStr">
        <is>
          <t>Negro</t>
        </is>
      </c>
      <c r="D13" s="36" t="n">
        <v>5350</v>
      </c>
      <c r="E13" s="37" t="n">
        <v>0</v>
      </c>
      <c r="F13" s="38" t="n">
        <v>0.1</v>
      </c>
      <c r="G13" s="32">
        <f>IF(B13="","",IF(C13="negro",VLOOKUP(B13,'Base perfiles'!$A$3:$O$200,8,),IF(C13="blanco",VLOOKUP(B13,'Base perfiles'!$A$3:$O$200,7),IF(C13="ANODIZADO",VLOOKUP(B13,'Base perfiles'!$A$3:$O$200,6)))))</f>
        <v/>
      </c>
      <c r="H13" s="33">
        <f>IF(G13="","",D13*E13/VLOOKUP(B13,'Base perfiles'!$A$3:$O$200,3,)*G13*(1-F13)*1.105)</f>
        <v/>
      </c>
      <c r="N13" s="36" t="n"/>
      <c r="O13" s="29" t="n"/>
      <c r="P13" s="36" t="n"/>
      <c r="Q13" s="37" t="n"/>
      <c r="R13" s="38" t="n">
        <v>0.1</v>
      </c>
      <c r="S13" s="32">
        <f>IF(N13="","",IF(O13="negro",VLOOKUP(N13,'Base perfiles'!$A$3:$O$200,8,),IF(O13="blanco",VLOOKUP(N13,'Base perfiles'!$A$3:$O$200,7),IF(O13="ANODIZADO",VLOOKUP(N13,'Base perfiles'!$A$3:$O$200,6)))))</f>
        <v/>
      </c>
      <c r="T13" s="33">
        <f>IF(S13="","",P13*Q13/VLOOKUP(N13,'Base perfiles'!$A$3:$O$200,3,)*S13*(1-R13)*1.105)</f>
        <v/>
      </c>
    </row>
    <row r="14">
      <c r="B14" s="36" t="n">
        <v>248</v>
      </c>
      <c r="C14" s="29" t="inlineStr">
        <is>
          <t>Negro</t>
        </is>
      </c>
      <c r="D14" s="36" t="n">
        <v>1277</v>
      </c>
      <c r="E14" s="37" t="n">
        <v>0</v>
      </c>
      <c r="F14" s="38" t="n">
        <v>0.1</v>
      </c>
      <c r="G14" s="32">
        <f>IF(B14="","",IF(C14="negro",VLOOKUP(B14,'Base perfiles'!$A$3:$O$200,8,),IF(C14="blanco",VLOOKUP(B14,'Base perfiles'!$A$3:$O$200,7),IF(C14="ANODIZADO",VLOOKUP(B14,'Base perfiles'!$A$3:$O$200,6)))))</f>
        <v/>
      </c>
      <c r="H14" s="33">
        <f>IF(G14="","",D14*E14/VLOOKUP(B14,'Base perfiles'!$A$3:$O$200,3,)*G14*(1-F14)*1.105)</f>
        <v/>
      </c>
      <c r="N14" s="36" t="n"/>
      <c r="O14" s="29" t="n"/>
      <c r="P14" s="36" t="n"/>
      <c r="Q14" s="37" t="n"/>
      <c r="R14" s="38" t="n">
        <v>0.1</v>
      </c>
      <c r="S14" s="32">
        <f>IF(N14="","",IF(O14="negro",VLOOKUP(N14,'Base perfiles'!$A$3:$O$200,8,),IF(O14="blanco",VLOOKUP(N14,'Base perfiles'!$A$3:$O$200,7),IF(O14="ANODIZADO",VLOOKUP(N14,'Base perfiles'!$A$3:$O$200,6)))))</f>
        <v/>
      </c>
      <c r="T14" s="33">
        <f>IF(S14="","",P14*Q14/VLOOKUP(N14,'Base perfiles'!$A$3:$O$200,3,)*S14*(1-R14)*1.105)</f>
        <v/>
      </c>
    </row>
    <row r="15">
      <c r="B15" s="36" t="n">
        <v>248</v>
      </c>
      <c r="C15" s="29" t="inlineStr">
        <is>
          <t>Negro</t>
        </is>
      </c>
      <c r="D15" s="36" t="n">
        <v>4529</v>
      </c>
      <c r="E15" s="37" t="n">
        <v>0</v>
      </c>
      <c r="F15" s="38" t="n">
        <v>0.1</v>
      </c>
      <c r="G15" s="32">
        <f>IF(B15="","",IF(C15="negro",VLOOKUP(B15,'Base perfiles'!$A$3:$O$200,8,),IF(C15="blanco",VLOOKUP(B15,'Base perfiles'!$A$3:$O$200,7),IF(C15="ANODIZADO",VLOOKUP(B15,'Base perfiles'!$A$3:$O$200,6)))))</f>
        <v/>
      </c>
      <c r="H15" s="33">
        <f>IF(G15="","",D15*E15/VLOOKUP(B15,'Base perfiles'!$A$3:$O$200,3,)*G15*(1-F15)*1.105)</f>
        <v/>
      </c>
      <c r="N15" s="36" t="n"/>
      <c r="O15" s="29" t="n"/>
      <c r="P15" s="36" t="n"/>
      <c r="Q15" s="37" t="n"/>
      <c r="R15" s="38" t="n">
        <v>0.1</v>
      </c>
      <c r="S15" s="32">
        <f>IF(N15="","",IF(O15="negro",VLOOKUP(N15,'Base perfiles'!$A$3:$O$200,8,),IF(O15="blanco",VLOOKUP(N15,'Base perfiles'!$A$3:$O$200,7),IF(O15="ANODIZADO",VLOOKUP(N15,'Base perfiles'!$A$3:$O$200,6)))))</f>
        <v/>
      </c>
      <c r="T15" s="33">
        <f>IF(S15="","",P15*Q15/VLOOKUP(N15,'Base perfiles'!$A$3:$O$200,3,)*S15*(1-R15)*1.105)</f>
        <v/>
      </c>
    </row>
    <row r="16">
      <c r="B16" s="36" t="n">
        <v>249</v>
      </c>
      <c r="C16" s="29" t="inlineStr">
        <is>
          <t>Negro</t>
        </is>
      </c>
      <c r="D16" s="36" t="n">
        <v>4075</v>
      </c>
      <c r="E16" s="37" t="n">
        <v>0</v>
      </c>
      <c r="F16" s="38" t="n">
        <v>0.1</v>
      </c>
      <c r="G16" s="32">
        <f>IF(B16="","",IF(C16="negro",VLOOKUP(B16,'Base perfiles'!$A$3:$O$200,8,),IF(C16="blanco",VLOOKUP(B16,'Base perfiles'!$A$3:$O$200,7),IF(C16="ANODIZADO",VLOOKUP(B16,'Base perfiles'!$A$3:$O$200,6)))))</f>
        <v/>
      </c>
      <c r="H16" s="33">
        <f>IF(G16="","",D16*E16/VLOOKUP(B16,'Base perfiles'!$A$3:$O$200,3,)*G16*(1-F16)*1.105)</f>
        <v/>
      </c>
      <c r="N16" s="36" t="n"/>
      <c r="O16" s="29" t="n"/>
      <c r="P16" s="36" t="n"/>
      <c r="Q16" s="37" t="n"/>
      <c r="R16" s="38" t="n">
        <v>0.1</v>
      </c>
      <c r="S16" s="32">
        <f>IF(N16="","",IF(O16="negro",VLOOKUP(N16,'Base perfiles'!$A$3:$O$200,8,),IF(O16="blanco",VLOOKUP(N16,'Base perfiles'!$A$3:$O$200,7),IF(O16="ANODIZADO",VLOOKUP(N16,'Base perfiles'!$A$3:$O$200,6)))))</f>
        <v/>
      </c>
      <c r="T16" s="33">
        <f>IF(S16="","",P16*Q16/VLOOKUP(N16,'Base perfiles'!$A$3:$O$200,3,)*S16*(1-R16)*1.105)</f>
        <v/>
      </c>
    </row>
    <row r="17">
      <c r="B17" s="36" t="n">
        <v>250</v>
      </c>
      <c r="C17" s="29" t="inlineStr">
        <is>
          <t>Negro</t>
        </is>
      </c>
      <c r="D17" s="36" t="n">
        <v>1277</v>
      </c>
      <c r="E17" s="37" t="n">
        <v>0</v>
      </c>
      <c r="F17" s="38" t="n">
        <v>0.1</v>
      </c>
      <c r="G17" s="32">
        <f>IF(B17="","",IF(C17="negro",VLOOKUP(B17,'Base perfiles'!$A$3:$O$200,8,),IF(C17="blanco",VLOOKUP(B17,'Base perfiles'!$A$3:$O$200,7),IF(C17="ANODIZADO",VLOOKUP(B17,'Base perfiles'!$A$3:$O$200,6)))))</f>
        <v/>
      </c>
      <c r="H17" s="33">
        <f>IF(G17="","",D17*E17/VLOOKUP(B17,'Base perfiles'!$A$3:$O$200,3,)*G17*(1-F17)*1.105)</f>
        <v/>
      </c>
      <c r="N17" s="36" t="n"/>
      <c r="O17" s="29" t="n"/>
      <c r="P17" s="36" t="n"/>
      <c r="Q17" s="37" t="n"/>
      <c r="R17" s="38" t="n">
        <v>0.1</v>
      </c>
      <c r="S17" s="32">
        <f>IF(N17="","",IF(O17="negro",VLOOKUP(N17,'Base perfiles'!$A$3:$O$200,8,),IF(O17="blanco",VLOOKUP(N17,'Base perfiles'!$A$3:$O$200,7),IF(O17="ANODIZADO",VLOOKUP(N17,'Base perfiles'!$A$3:$O$200,6)))))</f>
        <v/>
      </c>
      <c r="T17" s="33">
        <f>IF(S17="","",P17*Q17/VLOOKUP(N17,'Base perfiles'!$A$3:$O$200,3,)*S17*(1-R17)*1.105)</f>
        <v/>
      </c>
    </row>
    <row r="18">
      <c r="B18" s="36" t="n">
        <v>250</v>
      </c>
      <c r="C18" s="29" t="inlineStr">
        <is>
          <t>Negro</t>
        </is>
      </c>
      <c r="D18" s="36" t="n">
        <v>4529</v>
      </c>
      <c r="E18" s="37" t="n">
        <v>0</v>
      </c>
      <c r="F18" s="38" t="n">
        <v>0.1</v>
      </c>
      <c r="G18" s="32">
        <f>IF(B18="","",IF(C18="negro",VLOOKUP(B18,'Base perfiles'!$A$3:$O$200,8,),IF(C18="blanco",VLOOKUP(B18,'Base perfiles'!$A$3:$O$200,7),IF(C18="ANODIZADO",VLOOKUP(B18,'Base perfiles'!$A$3:$O$200,6)))))</f>
        <v/>
      </c>
      <c r="H18" s="33">
        <f>IF(G18="","",D18*E18/VLOOKUP(B18,'Base perfiles'!$A$3:$O$200,3,)*G18*(1-F18)*1.105)</f>
        <v/>
      </c>
      <c r="N18" s="36" t="n"/>
      <c r="O18" s="29" t="n"/>
      <c r="P18" s="36" t="n"/>
      <c r="Q18" s="37" t="n"/>
      <c r="R18" s="38" t="n">
        <v>0.1</v>
      </c>
      <c r="S18" s="32">
        <f>IF(N18="","",IF(O18="negro",VLOOKUP(N18,'Base perfiles'!$A$3:$O$200,8,),IF(O18="blanco",VLOOKUP(N18,'Base perfiles'!$A$3:$O$200,7),IF(O18="ANODIZADO",VLOOKUP(N18,'Base perfiles'!$A$3:$O$200,6)))))</f>
        <v/>
      </c>
      <c r="T18" s="33">
        <f>IF(S18="","",P18*Q18/VLOOKUP(N18,'Base perfiles'!$A$3:$O$200,3,)*S18*(1-R18)*1.105)</f>
        <v/>
      </c>
    </row>
    <row r="19">
      <c r="B19" s="36" t="n"/>
      <c r="C19" s="29" t="n"/>
      <c r="D19" s="36" t="n"/>
      <c r="E19" s="37" t="n"/>
      <c r="F19" s="38" t="n">
        <v>0.1</v>
      </c>
      <c r="G19" s="32">
        <f>IF(B19="","",IF(C19="negro",VLOOKUP(B19,'Base perfiles'!$A$3:$O$200,8,),IF(C19="blanco",VLOOKUP(B19,'Base perfiles'!$A$3:$O$200,7),IF(C19="ANODIZADO",VLOOKUP(B19,'Base perfiles'!$A$3:$O$200,6)))))</f>
        <v/>
      </c>
      <c r="H19" s="33">
        <f>IF(G19="","",D19*E19/VLOOKUP(B19,'Base perfiles'!$A$3:$O$200,3,)*G19*(1-F19)*1.105)</f>
        <v/>
      </c>
      <c r="N19" s="36" t="n"/>
      <c r="O19" s="29" t="n"/>
      <c r="P19" s="36" t="n"/>
      <c r="Q19" s="37" t="n"/>
      <c r="R19" s="38" t="n">
        <v>0.1</v>
      </c>
      <c r="S19" s="32">
        <f>IF(N19="","",IF(O19="negro",VLOOKUP(N19,'Base perfiles'!$A$3:$O$200,8,),IF(O19="blanco",VLOOKUP(N19,'Base perfiles'!$A$3:$O$200,7),IF(O19="ANODIZADO",VLOOKUP(N19,'Base perfiles'!$A$3:$O$200,6)))))</f>
        <v/>
      </c>
      <c r="T19" s="33">
        <f>IF(S19="","",P19*Q19/VLOOKUP(N19,'Base perfiles'!$A$3:$O$200,3,)*S19*(1-R19)*1.105)</f>
        <v/>
      </c>
    </row>
    <row r="20">
      <c r="B20" s="36" t="n"/>
      <c r="C20" s="29" t="n"/>
      <c r="D20" s="36" t="n"/>
      <c r="E20" s="37" t="n"/>
      <c r="F20" s="38" t="n">
        <v>0.1</v>
      </c>
      <c r="G20" s="32">
        <f>IF(B20="","",IF(C20="negro",VLOOKUP(B20,'Base perfiles'!$A$3:$O$200,8,),IF(C20="blanco",VLOOKUP(B20,'Base perfiles'!$A$3:$O$200,7),IF(C20="ANODIZADO",VLOOKUP(B20,'Base perfiles'!$A$3:$O$200,6)))))</f>
        <v/>
      </c>
      <c r="H20" s="33">
        <f>IF(G20="","",D20*E20/VLOOKUP(B20,'Base perfiles'!$A$3:$O$200,3,)*G20*(1-F20)*1.105)</f>
        <v/>
      </c>
      <c r="N20" s="36" t="n"/>
      <c r="O20" s="29" t="n"/>
      <c r="P20" s="36" t="n"/>
      <c r="Q20" s="37" t="n"/>
      <c r="R20" s="38" t="n">
        <v>0.1</v>
      </c>
      <c r="S20" s="32">
        <f>IF(N20="","",IF(O20="negro",VLOOKUP(N20,'Base perfiles'!$A$3:$O$200,8,),IF(O20="blanco",VLOOKUP(N20,'Base perfiles'!$A$3:$O$200,7),IF(O20="ANODIZADO",VLOOKUP(N20,'Base perfiles'!$A$3:$O$200,6)))))</f>
        <v/>
      </c>
      <c r="T20" s="33">
        <f>IF(S20="","",P20*Q20/VLOOKUP(N20,'Base perfiles'!$A$3:$O$200,3,)*S20*(1-R20)*1.105)</f>
        <v/>
      </c>
    </row>
    <row r="21">
      <c r="B21" s="36" t="n"/>
      <c r="C21" s="29" t="n"/>
      <c r="D21" s="36" t="n"/>
      <c r="E21" s="37" t="n"/>
      <c r="F21" s="38" t="n">
        <v>0.1</v>
      </c>
      <c r="G21" s="32">
        <f>IF(B21="","",IF(C21="negro",VLOOKUP(B21,'Base perfiles'!$A$3:$O$200,8,),IF(C21="blanco",VLOOKUP(B21,'Base perfiles'!$A$3:$O$200,7),IF(C21="ANODIZADO",VLOOKUP(B21,'Base perfiles'!$A$3:$O$200,6)))))</f>
        <v/>
      </c>
      <c r="H21" s="33">
        <f>IF(G21="","",D21*E21/VLOOKUP(B21,'Base perfiles'!$A$3:$O$200,3,)*G21*(1-F21)*1.105)</f>
        <v/>
      </c>
      <c r="N21" s="36" t="n"/>
      <c r="O21" s="29" t="n"/>
      <c r="P21" s="36" t="n"/>
      <c r="Q21" s="37" t="n"/>
      <c r="R21" s="38" t="n">
        <v>0.1</v>
      </c>
      <c r="S21" s="32">
        <f>IF(N21="","",IF(O21="negro",VLOOKUP(N21,'Base perfiles'!$A$3:$O$200,8,),IF(O21="blanco",VLOOKUP(N21,'Base perfiles'!$A$3:$O$200,7),IF(O21="ANODIZADO",VLOOKUP(N21,'Base perfiles'!$A$3:$O$200,6)))))</f>
        <v/>
      </c>
      <c r="T21" s="33">
        <f>IF(S21="","",P21*Q21/VLOOKUP(N21,'Base perfiles'!$A$3:$O$200,3,)*S21*(1-R21)*1.105)</f>
        <v/>
      </c>
    </row>
    <row r="22">
      <c r="B22" s="36" t="n"/>
      <c r="C22" s="29" t="n"/>
      <c r="D22" s="36" t="n"/>
      <c r="E22" s="37" t="n"/>
      <c r="F22" s="38" t="n">
        <v>0.1</v>
      </c>
      <c r="G22" s="32">
        <f>IF(B22="","",IF(C22="negro",VLOOKUP(B22,'Base perfiles'!$A$3:$O$200,8,),IF(C22="blanco",VLOOKUP(B22,'Base perfiles'!$A$3:$O$200,7),IF(C22="ANODIZADO",VLOOKUP(B22,'Base perfiles'!$A$3:$O$200,6)))))</f>
        <v/>
      </c>
      <c r="H22" s="33">
        <f>IF(G22="","",D22*E22/VLOOKUP(B22,'Base perfiles'!$A$3:$O$200,3,)*G22*(1-F22)*1.105)</f>
        <v/>
      </c>
      <c r="N22" s="36" t="n"/>
      <c r="O22" s="29" t="n"/>
      <c r="P22" s="36" t="n"/>
      <c r="Q22" s="37" t="n"/>
      <c r="R22" s="38" t="n">
        <v>0.1</v>
      </c>
      <c r="S22" s="32">
        <f>IF(N22="","",IF(O22="negro",VLOOKUP(N22,'Base perfiles'!$A$3:$O$200,8,),IF(O22="blanco",VLOOKUP(N22,'Base perfiles'!$A$3:$O$200,7),IF(O22="ANODIZADO",VLOOKUP(N22,'Base perfiles'!$A$3:$O$200,6)))))</f>
        <v/>
      </c>
      <c r="T22" s="33">
        <f>IF(S22="","",P22*Q22/VLOOKUP(N22,'Base perfiles'!$A$3:$O$200,3,)*S22*(1-R22)*1.105)</f>
        <v/>
      </c>
    </row>
    <row r="23">
      <c r="B23" s="36" t="n"/>
      <c r="C23" s="29" t="n"/>
      <c r="D23" s="36" t="n"/>
      <c r="E23" s="37" t="n"/>
      <c r="F23" s="38" t="n">
        <v>0.1</v>
      </c>
      <c r="G23" s="32">
        <f>IF(B23="","",IF(C23="negro",VLOOKUP(B23,'Base perfiles'!$A$3:$O$200,8,),IF(C23="blanco",VLOOKUP(B23,'Base perfiles'!$A$3:$O$200,7),IF(C23="ANODIZADO",VLOOKUP(B23,'Base perfiles'!$A$3:$O$200,6)))))</f>
        <v/>
      </c>
      <c r="H23" s="33">
        <f>IF(G23="","",D23*E23/VLOOKUP(B23,'Base perfiles'!$A$3:$O$200,3,)*G23*(1-F23)*1.105)</f>
        <v/>
      </c>
      <c r="N23" s="36" t="n"/>
      <c r="O23" s="29" t="n"/>
      <c r="P23" s="36" t="n"/>
      <c r="Q23" s="37" t="n"/>
      <c r="R23" s="38" t="n">
        <v>0.1</v>
      </c>
      <c r="S23" s="32">
        <f>IF(N23="","",IF(O23="negro",VLOOKUP(N23,'Base perfiles'!$A$3:$O$200,8,),IF(O23="blanco",VLOOKUP(N23,'Base perfiles'!$A$3:$O$200,7),IF(O23="ANODIZADO",VLOOKUP(N23,'Base perfiles'!$A$3:$O$200,6)))))</f>
        <v/>
      </c>
      <c r="T23" s="33">
        <f>IF(S23="","",P23*Q23/VLOOKUP(N23,'Base perfiles'!$A$3:$O$200,3,)*S23*(1-R23)*1.105)</f>
        <v/>
      </c>
    </row>
    <row r="24">
      <c r="B24" s="36" t="n"/>
      <c r="C24" s="29" t="n"/>
      <c r="D24" s="36" t="n"/>
      <c r="E24" s="37" t="n"/>
      <c r="F24" s="38" t="n">
        <v>0.1</v>
      </c>
      <c r="G24" s="32">
        <f>IF(B24="","",IF(C24="negro",VLOOKUP(B24,'Base perfiles'!$A$3:$O$200,8,),IF(C24="blanco",VLOOKUP(B24,'Base perfiles'!$A$3:$O$200,7),IF(C24="ANODIZADO",VLOOKUP(B24,'Base perfiles'!$A$3:$O$200,6)))))</f>
        <v/>
      </c>
      <c r="H24" s="33">
        <f>IF(G24="","",D24*E24/VLOOKUP(B24,'Base perfiles'!$A$3:$O$200,3,)*G24*(1-F24)*1.105)</f>
        <v/>
      </c>
      <c r="N24" s="36" t="n"/>
      <c r="O24" s="29" t="n"/>
      <c r="P24" s="36" t="n"/>
      <c r="Q24" s="37" t="n"/>
      <c r="R24" s="38" t="n">
        <v>0.1</v>
      </c>
      <c r="S24" s="32">
        <f>IF(N24="","",IF(O24="negro",VLOOKUP(N24,'Base perfiles'!$A$3:$O$200,8,),IF(O24="blanco",VLOOKUP(N24,'Base perfiles'!$A$3:$O$200,7),IF(O24="ANODIZADO",VLOOKUP(N24,'Base perfiles'!$A$3:$O$200,6)))))</f>
        <v/>
      </c>
      <c r="T24" s="33">
        <f>IF(S24="","",P24*Q24/VLOOKUP(N24,'Base perfiles'!$A$3:$O$200,3,)*S24*(1-R24)*1.105)</f>
        <v/>
      </c>
    </row>
    <row r="25">
      <c r="B25" s="36" t="n"/>
      <c r="C25" s="29" t="n"/>
      <c r="D25" s="36" t="n"/>
      <c r="E25" s="37" t="n"/>
      <c r="F25" s="38" t="n">
        <v>0.1</v>
      </c>
      <c r="G25" s="32">
        <f>IF(B25="","",IF(C25="negro",VLOOKUP(B25,'Base perfiles'!$A$3:$O$200,8,),IF(C25="blanco",VLOOKUP(B25,'Base perfiles'!$A$3:$O$200,7),IF(C25="ANODIZADO",VLOOKUP(B25,'Base perfiles'!$A$3:$O$200,6)))))</f>
        <v/>
      </c>
      <c r="H25" s="33">
        <f>IF(G25="","",D25*E25/VLOOKUP(B25,'Base perfiles'!$A$3:$O$200,3,)*G25*(1-F25)*1.105)</f>
        <v/>
      </c>
      <c r="N25" s="36" t="n"/>
      <c r="O25" s="29" t="n"/>
      <c r="P25" s="36" t="n"/>
      <c r="Q25" s="37" t="n"/>
      <c r="R25" s="38" t="n">
        <v>0.1</v>
      </c>
      <c r="S25" s="32">
        <f>IF(N25="","",IF(O25="negro",VLOOKUP(N25,'Base perfiles'!$A$3:$O$200,8,),IF(O25="blanco",VLOOKUP(N25,'Base perfiles'!$A$3:$O$200,7),IF(O25="ANODIZADO",VLOOKUP(N25,'Base perfiles'!$A$3:$O$200,6)))))</f>
        <v/>
      </c>
      <c r="T25" s="33">
        <f>IF(S25="","",P25*Q25/VLOOKUP(N25,'Base perfiles'!$A$3:$O$200,3,)*S25*(1-R25)*1.105)</f>
        <v/>
      </c>
    </row>
    <row r="26">
      <c r="B26" s="36" t="n"/>
      <c r="C26" s="29" t="n"/>
      <c r="D26" s="36" t="n"/>
      <c r="E26" s="37" t="n"/>
      <c r="F26" s="38" t="n">
        <v>0.1</v>
      </c>
      <c r="G26" s="32">
        <f>IF(B26="","",IF(C26="negro",VLOOKUP(B26,'Base perfiles'!$A$3:$O$200,8,),IF(C26="blanco",VLOOKUP(B26,'Base perfiles'!$A$3:$O$200,7),IF(C26="ANODIZADO",VLOOKUP(B26,'Base perfiles'!$A$3:$O$200,6)))))</f>
        <v/>
      </c>
      <c r="H26" s="33">
        <f>IF(G26="","",D26*E26/VLOOKUP(B26,'Base perfiles'!$A$3:$O$200,3,)*G26*(1-F26)*1.105)</f>
        <v/>
      </c>
      <c r="N26" s="36" t="n"/>
      <c r="O26" s="29" t="n"/>
      <c r="P26" s="36" t="n"/>
      <c r="Q26" s="37" t="n"/>
      <c r="R26" s="38" t="n">
        <v>0.1</v>
      </c>
      <c r="S26" s="32">
        <f>IF(N26="","",IF(O26="negro",VLOOKUP(N26,'Base perfiles'!$A$3:$O$200,8,),IF(O26="blanco",VLOOKUP(N26,'Base perfiles'!$A$3:$O$200,7),IF(O26="ANODIZADO",VLOOKUP(N26,'Base perfiles'!$A$3:$O$200,6)))))</f>
        <v/>
      </c>
      <c r="T26" s="33">
        <f>IF(S26="","",P26*Q26/VLOOKUP(N26,'Base perfiles'!$A$3:$O$200,3,)*S26*(1-R26)*1.105)</f>
        <v/>
      </c>
    </row>
    <row r="27">
      <c r="B27" s="36" t="n"/>
      <c r="C27" s="29" t="n"/>
      <c r="D27" s="36" t="n"/>
      <c r="E27" s="37" t="n"/>
      <c r="F27" s="38" t="n">
        <v>0.1</v>
      </c>
      <c r="G27" s="32">
        <f>IF(B27="","",IF(C27="negro",VLOOKUP(B27,'Base perfiles'!$A$3:$O$200,8,),IF(C27="blanco",VLOOKUP(B27,'Base perfiles'!$A$3:$O$200,7),IF(C27="ANODIZADO",VLOOKUP(B27,'Base perfiles'!$A$3:$O$200,6)))))</f>
        <v/>
      </c>
      <c r="H27" s="33">
        <f>IF(G27="","",D27*E27/VLOOKUP(B27,'Base perfiles'!$A$3:$O$200,3,)*G27*(1-F27)*1.105)</f>
        <v/>
      </c>
      <c r="N27" s="36" t="n"/>
      <c r="O27" s="29" t="n"/>
      <c r="P27" s="36" t="n"/>
      <c r="Q27" s="37" t="n"/>
      <c r="R27" s="38" t="n">
        <v>0.1</v>
      </c>
      <c r="S27" s="32">
        <f>IF(N27="","",IF(O27="negro",VLOOKUP(N27,'Base perfiles'!$A$3:$O$200,8,),IF(O27="blanco",VLOOKUP(N27,'Base perfiles'!$A$3:$O$200,7),IF(O27="ANODIZADO",VLOOKUP(N27,'Base perfiles'!$A$3:$O$200,6)))))</f>
        <v/>
      </c>
      <c r="T27" s="33">
        <f>IF(S27="","",P27*Q27/VLOOKUP(N27,'Base perfiles'!$A$3:$O$200,3,)*S27*(1-R27)*1.105)</f>
        <v/>
      </c>
    </row>
    <row r="28">
      <c r="B28" s="36" t="n"/>
      <c r="C28" s="29" t="n"/>
      <c r="D28" s="36" t="n"/>
      <c r="E28" s="37" t="n"/>
      <c r="F28" s="38" t="n">
        <v>0.1</v>
      </c>
      <c r="G28" s="32">
        <f>IF(B28="","",IF(C28="negro",VLOOKUP(B28,'Base perfiles'!$A$3:$O$200,8,),IF(C28="blanco",VLOOKUP(B28,'Base perfiles'!$A$3:$O$200,7),IF(C28="ANODIZADO",VLOOKUP(B28,'Base perfiles'!$A$3:$O$200,6)))))</f>
        <v/>
      </c>
      <c r="H28" s="33">
        <f>IF(G28="","",D28*E28/VLOOKUP(B28,'Base perfiles'!$A$3:$O$200,3,)*G28*(1-F28)*1.105)</f>
        <v/>
      </c>
      <c r="N28" s="36" t="n"/>
      <c r="O28" s="29" t="n"/>
      <c r="P28" s="36" t="n"/>
      <c r="Q28" s="37" t="n"/>
      <c r="R28" s="38" t="n">
        <v>0.1</v>
      </c>
      <c r="S28" s="32">
        <f>IF(N28="","",IF(O28="negro",VLOOKUP(N28,'Base perfiles'!$A$3:$O$200,8,),IF(O28="blanco",VLOOKUP(N28,'Base perfiles'!$A$3:$O$200,7),IF(O28="ANODIZADO",VLOOKUP(N28,'Base perfiles'!$A$3:$O$200,6)))))</f>
        <v/>
      </c>
      <c r="T28" s="33">
        <f>IF(S28="","",P28*Q28/VLOOKUP(N28,'Base perfiles'!$A$3:$O$200,3,)*S28*(1-R28)*1.105)</f>
        <v/>
      </c>
    </row>
    <row r="29">
      <c r="B29" s="36" t="n"/>
      <c r="C29" s="29" t="n"/>
      <c r="D29" s="36" t="n"/>
      <c r="E29" s="37" t="n"/>
      <c r="F29" s="38" t="n">
        <v>0.1</v>
      </c>
      <c r="G29" s="32">
        <f>IF(B29="","",IF(C29="negro",VLOOKUP(B29,'Base perfiles'!$A$3:$O$200,8,),IF(C29="blanco",VLOOKUP(B29,'Base perfiles'!$A$3:$O$200,7),IF(C29="ANODIZADO",VLOOKUP(B29,'Base perfiles'!$A$3:$O$200,6)))))</f>
        <v/>
      </c>
      <c r="H29" s="33">
        <f>IF(G29="","",D29*E29/VLOOKUP(B29,'Base perfiles'!$A$3:$O$200,3,)*G29*(1-F29)*1.105)</f>
        <v/>
      </c>
      <c r="N29" s="36" t="n"/>
      <c r="O29" s="29" t="n"/>
      <c r="P29" s="36" t="n"/>
      <c r="Q29" s="37" t="n"/>
      <c r="R29" s="38" t="n">
        <v>0.1</v>
      </c>
      <c r="S29" s="32">
        <f>IF(N29="","",IF(O29="negro",VLOOKUP(N29,'Base perfiles'!$A$3:$O$200,8,),IF(O29="blanco",VLOOKUP(N29,'Base perfiles'!$A$3:$O$200,7),IF(O29="ANODIZADO",VLOOKUP(N29,'Base perfiles'!$A$3:$O$200,6)))))</f>
        <v/>
      </c>
      <c r="T29" s="33">
        <f>IF(S29="","",P29*Q29/VLOOKUP(N29,'Base perfiles'!$A$3:$O$200,3,)*S29*(1-R29)*1.105)</f>
        <v/>
      </c>
    </row>
    <row r="30">
      <c r="B30" s="36" t="n"/>
      <c r="C30" s="29" t="n"/>
      <c r="D30" s="36" t="n"/>
      <c r="E30" s="37" t="n"/>
      <c r="F30" s="38" t="n">
        <v>0.1</v>
      </c>
      <c r="G30" s="32">
        <f>IF(B30="","",IF(C30="negro",VLOOKUP(B30,'Base perfiles'!$A$3:$O$200,8,),IF(C30="blanco",VLOOKUP(B30,'Base perfiles'!$A$3:$O$200,7),IF(C30="ANODIZADO",VLOOKUP(B30,'Base perfiles'!$A$3:$O$200,6)))))</f>
        <v/>
      </c>
      <c r="H30" s="33">
        <f>IF(G30="","",D30*E30/VLOOKUP(B30,'Base perfiles'!$A$3:$O$200,3,)*G30*(1-F30)*1.105)</f>
        <v/>
      </c>
      <c r="N30" s="36" t="n"/>
      <c r="O30" s="29" t="n"/>
      <c r="P30" s="36" t="n"/>
      <c r="Q30" s="37" t="n"/>
      <c r="R30" s="38" t="n">
        <v>0.1</v>
      </c>
      <c r="S30" s="32">
        <f>IF(N30="","",IF(O30="negro",VLOOKUP(N30,'Base perfiles'!$A$3:$O$200,8,),IF(O30="blanco",VLOOKUP(N30,'Base perfiles'!$A$3:$O$200,7),IF(O30="ANODIZADO",VLOOKUP(N30,'Base perfiles'!$A$3:$O$200,6)))))</f>
        <v/>
      </c>
      <c r="T30" s="33">
        <f>IF(S30="","",P30*Q30/VLOOKUP(N30,'Base perfiles'!$A$3:$O$200,3,)*S30*(1-R30)*1.105)</f>
        <v/>
      </c>
    </row>
    <row r="31">
      <c r="B31" s="36" t="n"/>
      <c r="C31" s="29" t="n"/>
      <c r="D31" s="36" t="n"/>
      <c r="E31" s="37" t="n"/>
      <c r="F31" s="38" t="n">
        <v>0.1</v>
      </c>
      <c r="G31" s="32">
        <f>IF(B31="","",IF(C31="negro",VLOOKUP(B31,'Base perfiles'!$A$3:$O$200,8,),IF(C31="blanco",VLOOKUP(B31,'Base perfiles'!$A$3:$O$200,7),IF(C31="ANODIZADO",VLOOKUP(B31,'Base perfiles'!$A$3:$O$200,6)))))</f>
        <v/>
      </c>
      <c r="H31" s="33">
        <f>IF(G31="","",D31*E31/VLOOKUP(B31,'Base perfiles'!$A$3:$O$200,3,)*G31*(1-F31)*1.105)</f>
        <v/>
      </c>
      <c r="N31" s="36" t="n"/>
      <c r="O31" s="29" t="n"/>
      <c r="P31" s="36" t="n"/>
      <c r="Q31" s="37" t="n"/>
      <c r="R31" s="38" t="n">
        <v>0.1</v>
      </c>
      <c r="S31" s="32">
        <f>IF(N31="","",IF(O31="negro",VLOOKUP(N31,'Base perfiles'!$A$3:$O$200,8,),IF(O31="blanco",VLOOKUP(N31,'Base perfiles'!$A$3:$O$200,7),IF(O31="ANODIZADO",VLOOKUP(N31,'Base perfiles'!$A$3:$O$200,6)))))</f>
        <v/>
      </c>
      <c r="T31" s="33">
        <f>IF(S31="","",P31*Q31/VLOOKUP(N31,'Base perfiles'!$A$3:$O$200,3,)*S31*(1-R31)*1.105)</f>
        <v/>
      </c>
    </row>
    <row r="32">
      <c r="B32" s="36" t="n"/>
      <c r="C32" s="29" t="n"/>
      <c r="D32" s="36" t="n"/>
      <c r="E32" s="37" t="n"/>
      <c r="F32" s="38" t="n">
        <v>0.1</v>
      </c>
      <c r="G32" s="32">
        <f>IF(B32="","",IF(C32="negro",VLOOKUP(B32,'Base perfiles'!$A$3:$O$200,8,),IF(C32="blanco",VLOOKUP(B32,'Base perfiles'!$A$3:$O$200,7),IF(C32="ANODIZADO",VLOOKUP(B32,'Base perfiles'!$A$3:$O$200,6)))))</f>
        <v/>
      </c>
      <c r="H32" s="33">
        <f>IF(G32="","",D32*E32/VLOOKUP(B32,'Base perfiles'!$A$3:$O$200,3,)*G32*(1-F32)*1.105)</f>
        <v/>
      </c>
      <c r="N32" s="36" t="n"/>
      <c r="O32" s="29" t="n"/>
      <c r="P32" s="36" t="n"/>
      <c r="Q32" s="37" t="n"/>
      <c r="R32" s="38" t="n">
        <v>0.1</v>
      </c>
      <c r="S32" s="32">
        <f>IF(N32="","",IF(O32="negro",VLOOKUP(N32,'Base perfiles'!$A$3:$O$200,8,),IF(O32="blanco",VLOOKUP(N32,'Base perfiles'!$A$3:$O$200,7),IF(O32="ANODIZADO",VLOOKUP(N32,'Base perfiles'!$A$3:$O$200,6)))))</f>
        <v/>
      </c>
      <c r="T32" s="33">
        <f>IF(S32="","",P32*Q32/VLOOKUP(N32,'Base perfiles'!$A$3:$O$200,3,)*S32*(1-R32)*1.105)</f>
        <v/>
      </c>
    </row>
    <row r="33">
      <c r="B33" s="36" t="n"/>
      <c r="C33" s="29" t="n"/>
      <c r="D33" s="36" t="n"/>
      <c r="E33" s="37" t="n"/>
      <c r="F33" s="38" t="n">
        <v>0.1</v>
      </c>
      <c r="G33" s="32">
        <f>IF(B33="","",IF(C33="negro",VLOOKUP(B33,'Base perfiles'!$A$3:$O$200,8,),IF(C33="blanco",VLOOKUP(B33,'Base perfiles'!$A$3:$O$200,7),IF(C33="ANODIZADO",VLOOKUP(B33,'Base perfiles'!$A$3:$O$200,6)))))</f>
        <v/>
      </c>
      <c r="H33" s="33">
        <f>IF(G33="","",D33*E33/VLOOKUP(B33,'Base perfiles'!$A$3:$O$200,3,)*G33*(1-F33)*1.105)</f>
        <v/>
      </c>
      <c r="N33" s="36" t="n"/>
      <c r="O33" s="29" t="n"/>
      <c r="P33" s="36" t="n"/>
      <c r="Q33" s="37" t="n"/>
      <c r="R33" s="38" t="n">
        <v>0.1</v>
      </c>
      <c r="S33" s="32">
        <f>IF(N33="","",IF(O33="negro",VLOOKUP(N33,'Base perfiles'!$A$3:$O$200,8,),IF(O33="blanco",VLOOKUP(N33,'Base perfiles'!$A$3:$O$200,7),IF(O33="ANODIZADO",VLOOKUP(N33,'Base perfiles'!$A$3:$O$200,6)))))</f>
        <v/>
      </c>
      <c r="T33" s="33">
        <f>IF(S33="","",P33*Q33/VLOOKUP(N33,'Base perfiles'!$A$3:$O$200,3,)*S33*(1-R33)*1.105)</f>
        <v/>
      </c>
    </row>
    <row r="34">
      <c r="B34" s="36" t="n"/>
      <c r="C34" s="29" t="n"/>
      <c r="D34" s="36" t="n"/>
      <c r="E34" s="37" t="n"/>
      <c r="F34" s="38" t="n">
        <v>0.1</v>
      </c>
      <c r="G34" s="32">
        <f>IF(B34="","",IF(C34="negro",VLOOKUP(B34,'Base perfiles'!$A$3:$O$200,8,),IF(C34="blanco",VLOOKUP(B34,'Base perfiles'!$A$3:$O$200,7),IF(C34="ANODIZADO",VLOOKUP(B34,'Base perfiles'!$A$3:$O$200,6)))))</f>
        <v/>
      </c>
      <c r="H34" s="33">
        <f>IF(G34="","",D34*E34/VLOOKUP(B34,'Base perfiles'!$A$3:$O$200,3,)*G34*(1-F34)*1.105)</f>
        <v/>
      </c>
      <c r="N34" s="36" t="n"/>
      <c r="O34" s="29" t="n"/>
      <c r="P34" s="36" t="n"/>
      <c r="Q34" s="37" t="n"/>
      <c r="R34" s="38" t="n">
        <v>0.1</v>
      </c>
      <c r="S34" s="32">
        <f>IF(N34="","",IF(O34="negro",VLOOKUP(N34,'Base perfiles'!$A$3:$O$200,8,),IF(O34="blanco",VLOOKUP(N34,'Base perfiles'!$A$3:$O$200,7),IF(O34="ANODIZADO",VLOOKUP(N34,'Base perfiles'!$A$3:$O$200,6)))))</f>
        <v/>
      </c>
      <c r="T34" s="33">
        <f>IF(S34="","",P34*Q34/VLOOKUP(N34,'Base perfiles'!$A$3:$O$200,3,)*S34*(1-R34)*1.105)</f>
        <v/>
      </c>
    </row>
    <row r="35">
      <c r="B35" s="36" t="n"/>
      <c r="C35" s="29" t="n"/>
      <c r="D35" s="36" t="n"/>
      <c r="E35" s="37" t="n"/>
      <c r="F35" s="38" t="n">
        <v>0.1</v>
      </c>
      <c r="G35" s="32">
        <f>IF(B35="","",IF(C35="negro",VLOOKUP(B35,'Base perfiles'!$A$3:$O$200,8,),IF(C35="blanco",VLOOKUP(B35,'Base perfiles'!$A$3:$O$200,7),IF(C35="ANODIZADO",VLOOKUP(B35,'Base perfiles'!$A$3:$O$200,6)))))</f>
        <v/>
      </c>
      <c r="H35" s="33">
        <f>IF(G35="","",D35*E35/VLOOKUP(B35,'Base perfiles'!$A$3:$O$200,3,)*G35*(1-F35)*1.105)</f>
        <v/>
      </c>
      <c r="N35" s="36" t="n"/>
      <c r="O35" s="29" t="n"/>
      <c r="P35" s="36" t="n"/>
      <c r="Q35" s="37" t="n"/>
      <c r="R35" s="38" t="n">
        <v>0.1</v>
      </c>
      <c r="S35" s="32">
        <f>IF(N35="","",IF(O35="negro",VLOOKUP(N35,'Base perfiles'!$A$3:$O$200,8,),IF(O35="blanco",VLOOKUP(N35,'Base perfiles'!$A$3:$O$200,7),IF(O35="ANODIZADO",VLOOKUP(N35,'Base perfiles'!$A$3:$O$200,6)))))</f>
        <v/>
      </c>
      <c r="T35" s="33">
        <f>IF(S35="","",P35*Q35/VLOOKUP(N35,'Base perfiles'!$A$3:$O$200,3,)*S35*(1-R35)*1.105)</f>
        <v/>
      </c>
    </row>
    <row r="36">
      <c r="B36" s="36" t="n"/>
      <c r="C36" s="29" t="n"/>
      <c r="D36" s="36" t="n"/>
      <c r="E36" s="37" t="n"/>
      <c r="F36" s="38" t="n">
        <v>0.1</v>
      </c>
      <c r="G36" s="32">
        <f>IF(B36="","",IF(C36="negro",VLOOKUP(B36,'Base perfiles'!$A$3:$O$200,8,),IF(C36="blanco",VLOOKUP(B36,'Base perfiles'!$A$3:$O$200,7),IF(C36="ANODIZADO",VLOOKUP(B36,'Base perfiles'!$A$3:$O$200,6)))))</f>
        <v/>
      </c>
      <c r="H36" s="33">
        <f>IF(G36="","",D36*E36/VLOOKUP(B36,'Base perfiles'!$A$3:$O$200,3,)*G36*(1-F36)*1.105)</f>
        <v/>
      </c>
      <c r="N36" s="36" t="n"/>
      <c r="O36" s="29" t="n"/>
      <c r="P36" s="36" t="n"/>
      <c r="Q36" s="37" t="n"/>
      <c r="R36" s="38" t="n">
        <v>0.1</v>
      </c>
      <c r="S36" s="32">
        <f>IF(N36="","",IF(O36="negro",VLOOKUP(N36,'Base perfiles'!$A$3:$O$200,8,),IF(O36="blanco",VLOOKUP(N36,'Base perfiles'!$A$3:$O$200,7),IF(O36="ANODIZADO",VLOOKUP(N36,'Base perfiles'!$A$3:$O$200,6)))))</f>
        <v/>
      </c>
      <c r="T36" s="33">
        <f>IF(S36="","",P36*Q36/VLOOKUP(N36,'Base perfiles'!$A$3:$O$200,3,)*S36*(1-R36)*1.105)</f>
        <v/>
      </c>
    </row>
    <row r="37">
      <c r="B37" s="36" t="n"/>
      <c r="C37" s="29" t="n"/>
      <c r="D37" s="36" t="n"/>
      <c r="E37" s="37" t="n"/>
      <c r="F37" s="38" t="n">
        <v>0.1</v>
      </c>
      <c r="G37" s="32">
        <f>IF(B37="","",IF(C37="negro",VLOOKUP(B37,'Base perfiles'!$A$3:$O$200,8,),IF(C37="blanco",VLOOKUP(B37,'Base perfiles'!$A$3:$O$200,7),IF(C37="ANODIZADO",VLOOKUP(B37,'Base perfiles'!$A$3:$O$200,6)))))</f>
        <v/>
      </c>
      <c r="H37" s="33">
        <f>IF(G37="","",D37*E37/VLOOKUP(B37,'Base perfiles'!$A$3:$O$200,3,)*G37*(1-F37)*1.105)</f>
        <v/>
      </c>
      <c r="N37" s="36" t="n"/>
      <c r="O37" s="29" t="n"/>
      <c r="P37" s="36" t="n"/>
      <c r="Q37" s="37" t="n"/>
      <c r="R37" s="38" t="n">
        <v>0.1</v>
      </c>
      <c r="S37" s="32">
        <f>IF(N37="","",IF(O37="negro",VLOOKUP(N37,'Base perfiles'!$A$3:$O$200,8,),IF(O37="blanco",VLOOKUP(N37,'Base perfiles'!$A$3:$O$200,7),IF(O37="ANODIZADO",VLOOKUP(N37,'Base perfiles'!$A$3:$O$200,6)))))</f>
        <v/>
      </c>
      <c r="T37" s="33">
        <f>IF(S37="","",P37*Q37/VLOOKUP(N37,'Base perfiles'!$A$3:$O$200,3,)*S37*(1-R37)*1.105)</f>
        <v/>
      </c>
    </row>
    <row r="38">
      <c r="B38" s="36" t="n"/>
      <c r="C38" s="29" t="n"/>
      <c r="D38" s="36" t="n"/>
      <c r="E38" s="37" t="n"/>
      <c r="F38" s="38" t="n">
        <v>0.1</v>
      </c>
      <c r="G38" s="32">
        <f>IF(B38="","",IF(C38="negro",VLOOKUP(B38,'Base perfiles'!$A$3:$O$200,8,),IF(C38="blanco",VLOOKUP(B38,'Base perfiles'!$A$3:$O$200,7),IF(C38="ANODIZADO",VLOOKUP(B38,'Base perfiles'!$A$3:$O$200,6)))))</f>
        <v/>
      </c>
      <c r="H38" s="33">
        <f>IF(G38="","",D38*E38/VLOOKUP(B38,'Base perfiles'!$A$3:$O$200,3,)*G38*(1-F38)*1.105)</f>
        <v/>
      </c>
      <c r="N38" s="36" t="n"/>
      <c r="O38" s="29" t="n"/>
      <c r="P38" s="36" t="n"/>
      <c r="Q38" s="37" t="n"/>
      <c r="R38" s="38" t="n">
        <v>0.1</v>
      </c>
      <c r="S38" s="32">
        <f>IF(N38="","",IF(O38="negro",VLOOKUP(N38,'Base perfiles'!$A$3:$O$200,8,),IF(O38="blanco",VLOOKUP(N38,'Base perfiles'!$A$3:$O$200,7),IF(O38="ANODIZADO",VLOOKUP(N38,'Base perfiles'!$A$3:$O$200,6)))))</f>
        <v/>
      </c>
      <c r="T38" s="33">
        <f>IF(S38="","",P38*Q38/VLOOKUP(N38,'Base perfiles'!$A$3:$O$200,3,)*S38*(1-R38)*1.105)</f>
        <v/>
      </c>
    </row>
    <row r="39">
      <c r="B39" s="36" t="n"/>
      <c r="C39" s="29" t="n"/>
      <c r="D39" s="36" t="n"/>
      <c r="E39" s="37" t="n"/>
      <c r="F39" s="38" t="n">
        <v>0.1</v>
      </c>
      <c r="G39" s="32">
        <f>IF(B39="","",IF(C39="negro",VLOOKUP(B39,'Base perfiles'!$A$3:$O$200,8,),IF(C39="blanco",VLOOKUP(B39,'Base perfiles'!$A$3:$O$200,7),IF(C39="ANODIZADO",VLOOKUP(B39,'Base perfiles'!$A$3:$O$200,6)))))</f>
        <v/>
      </c>
      <c r="H39" s="33">
        <f>IF(G39="","",D39*E39/VLOOKUP(B39,'Base perfiles'!$A$3:$O$200,3,)*G39*(1-F39)*1.105)</f>
        <v/>
      </c>
      <c r="N39" s="36" t="n"/>
      <c r="O39" s="29" t="n"/>
      <c r="P39" s="36" t="n"/>
      <c r="Q39" s="37" t="n"/>
      <c r="R39" s="38" t="n">
        <v>0.1</v>
      </c>
      <c r="S39" s="32">
        <f>IF(N39="","",IF(O39="negro",VLOOKUP(N39,'Base perfiles'!$A$3:$O$200,8,),IF(O39="blanco",VLOOKUP(N39,'Base perfiles'!$A$3:$O$200,7),IF(O39="ANODIZADO",VLOOKUP(N39,'Base perfiles'!$A$3:$O$200,6)))))</f>
        <v/>
      </c>
      <c r="T39" s="33">
        <f>IF(S39="","",P39*Q39/VLOOKUP(N39,'Base perfiles'!$A$3:$O$200,3,)*S39*(1-R39)*1.105)</f>
        <v/>
      </c>
    </row>
    <row r="40">
      <c r="B40" s="36" t="n"/>
      <c r="C40" s="29" t="n"/>
      <c r="D40" s="36" t="n"/>
      <c r="E40" s="37" t="n"/>
      <c r="F40" s="38" t="n">
        <v>0.1</v>
      </c>
      <c r="G40" s="32">
        <f>IF(B40="","",IF(C40="negro",VLOOKUP(B40,'Base perfiles'!$A$3:$O$200,8,),IF(C40="blanco",VLOOKUP(B40,'Base perfiles'!$A$3:$O$200,7),IF(C40="ANODIZADO",VLOOKUP(B40,'Base perfiles'!$A$3:$O$200,6)))))</f>
        <v/>
      </c>
      <c r="H40" s="33">
        <f>IF(G40="","",D40*E40/VLOOKUP(B40,'Base perfiles'!$A$3:$O$200,3,)*G40*(1-F40)*1.105)</f>
        <v/>
      </c>
      <c r="N40" s="36" t="n"/>
      <c r="O40" s="29" t="n"/>
      <c r="P40" s="36" t="n"/>
      <c r="Q40" s="37" t="n"/>
      <c r="R40" s="38" t="n">
        <v>0.1</v>
      </c>
      <c r="S40" s="32">
        <f>IF(N40="","",IF(O40="negro",VLOOKUP(N40,'Base perfiles'!$A$3:$O$200,8,),IF(O40="blanco",VLOOKUP(N40,'Base perfiles'!$A$3:$O$200,7),IF(O40="ANODIZADO",VLOOKUP(N40,'Base perfiles'!$A$3:$O$200,6)))))</f>
        <v/>
      </c>
      <c r="T40" s="33">
        <f>IF(S40="","",P40*Q40/VLOOKUP(N40,'Base perfiles'!$A$3:$O$200,3,)*S40*(1-R40)*1.105)</f>
        <v/>
      </c>
    </row>
    <row r="41">
      <c r="B41" s="36" t="n"/>
      <c r="C41" s="29" t="n"/>
      <c r="D41" s="36" t="n"/>
      <c r="E41" s="37" t="n"/>
      <c r="F41" s="38" t="n">
        <v>0.1</v>
      </c>
      <c r="G41" s="32">
        <f>IF(B41="","",IF(C41="negro",VLOOKUP(B41,'Base perfiles'!$A$3:$O$200,8,),IF(C41="blanco",VLOOKUP(B41,'Base perfiles'!$A$3:$O$200,7),IF(C41="ANODIZADO",VLOOKUP(B41,'Base perfiles'!$A$3:$O$200,6)))))</f>
        <v/>
      </c>
      <c r="H41" s="33">
        <f>IF(G41="","",D41*E41/VLOOKUP(B41,'Base perfiles'!$A$3:$O$200,3,)*G41*(1-F41)*1.105)</f>
        <v/>
      </c>
      <c r="N41" s="36" t="n"/>
      <c r="O41" s="29" t="n"/>
      <c r="P41" s="36" t="n"/>
      <c r="Q41" s="37" t="n"/>
      <c r="R41" s="38" t="n">
        <v>0.1</v>
      </c>
      <c r="S41" s="32">
        <f>IF(N41="","",IF(O41="negro",VLOOKUP(N41,'Base perfiles'!$A$3:$O$200,8,),IF(O41="blanco",VLOOKUP(N41,'Base perfiles'!$A$3:$O$200,7),IF(O41="ANODIZADO",VLOOKUP(N41,'Base perfiles'!$A$3:$O$200,6)))))</f>
        <v/>
      </c>
      <c r="T41" s="33">
        <f>IF(S41="","",P41*Q41/VLOOKUP(N41,'Base perfiles'!$A$3:$O$200,3,)*S41*(1-R41)*1.105)</f>
        <v/>
      </c>
    </row>
    <row r="42">
      <c r="B42" s="36" t="n"/>
      <c r="C42" s="29" t="n"/>
      <c r="D42" s="36" t="n"/>
      <c r="E42" s="37" t="n"/>
      <c r="F42" s="38" t="n">
        <v>0.1</v>
      </c>
      <c r="G42" s="32">
        <f>IF(B42="","",IF(C42="negro",VLOOKUP(B42,'Base perfiles'!$A$3:$O$200,8,),IF(C42="blanco",VLOOKUP(B42,'Base perfiles'!$A$3:$O$200,7),IF(C42="ANODIZADO",VLOOKUP(B42,'Base perfiles'!$A$3:$O$200,6)))))</f>
        <v/>
      </c>
      <c r="H42" s="33">
        <f>IF(G42="","",D42*E42/VLOOKUP(B42,'Base perfiles'!$A$3:$O$200,3,)*G42*(1-F42)*1.105)</f>
        <v/>
      </c>
      <c r="N42" s="36" t="n"/>
      <c r="O42" s="29" t="n"/>
      <c r="P42" s="36" t="n"/>
      <c r="Q42" s="37" t="n"/>
      <c r="R42" s="38" t="n">
        <v>0.1</v>
      </c>
      <c r="S42" s="32">
        <f>IF(N42="","",IF(O42="negro",VLOOKUP(N42,'Base perfiles'!$A$3:$O$200,8,),IF(O42="blanco",VLOOKUP(N42,'Base perfiles'!$A$3:$O$200,7),IF(O42="ANODIZADO",VLOOKUP(N42,'Base perfiles'!$A$3:$O$200,6)))))</f>
        <v/>
      </c>
      <c r="T42" s="33">
        <f>IF(S42="","",P42*Q42/VLOOKUP(N42,'Base perfiles'!$A$3:$O$200,3,)*S42*(1-R42)*1.105)</f>
        <v/>
      </c>
    </row>
    <row r="43">
      <c r="B43" s="36" t="n"/>
      <c r="C43" s="29" t="n"/>
      <c r="D43" s="36" t="n"/>
      <c r="E43" s="37" t="n"/>
      <c r="F43" s="38" t="n">
        <v>0.1</v>
      </c>
      <c r="G43" s="32">
        <f>IF(B43="","",IF(C43="negro",VLOOKUP(B43,'Base perfiles'!$A$3:$O$200,8,),IF(C43="blanco",VLOOKUP(B43,'Base perfiles'!$A$3:$O$200,7),IF(C43="ANODIZADO",VLOOKUP(B43,'Base perfiles'!$A$3:$O$200,6)))))</f>
        <v/>
      </c>
      <c r="H43" s="33">
        <f>IF(G43="","",D43*E43/VLOOKUP(B43,'Base perfiles'!$A$3:$O$200,3,)*G43*(1-F43)*1.105)</f>
        <v/>
      </c>
      <c r="N43" s="36" t="n"/>
      <c r="O43" s="29" t="n"/>
      <c r="P43" s="36" t="n"/>
      <c r="Q43" s="37" t="n"/>
      <c r="R43" s="38" t="n">
        <v>0.1</v>
      </c>
      <c r="S43" s="32">
        <f>IF(N43="","",IF(O43="negro",VLOOKUP(N43,'Base perfiles'!$A$3:$O$200,8,),IF(O43="blanco",VLOOKUP(N43,'Base perfiles'!$A$3:$O$200,7),IF(O43="ANODIZADO",VLOOKUP(N43,'Base perfiles'!$A$3:$O$200,6)))))</f>
        <v/>
      </c>
      <c r="T43" s="33">
        <f>IF(S43="","",P43*Q43/VLOOKUP(N43,'Base perfiles'!$A$3:$O$200,3,)*S43*(1-R43)*1.105)</f>
        <v/>
      </c>
    </row>
    <row r="44">
      <c r="B44" s="36" t="n"/>
      <c r="C44" s="29" t="n"/>
      <c r="D44" s="36" t="n"/>
      <c r="E44" s="37" t="n"/>
      <c r="F44" s="38" t="n">
        <v>0.1</v>
      </c>
      <c r="G44" s="32">
        <f>IF(B44="","",IF(C44="negro",VLOOKUP(B44,'Base perfiles'!$A$3:$O$200,8,),IF(C44="blanco",VLOOKUP(B44,'Base perfiles'!$A$3:$O$200,7),IF(C44="ANODIZADO",VLOOKUP(B44,'Base perfiles'!$A$3:$O$200,6)))))</f>
        <v/>
      </c>
      <c r="H44" s="33">
        <f>IF(G44="","",D44*E44/VLOOKUP(B44,'Base perfiles'!$A$3:$O$200,3,)*G44*(1-F44)*1.105)</f>
        <v/>
      </c>
      <c r="N44" s="36" t="n"/>
      <c r="O44" s="29" t="n"/>
      <c r="P44" s="36" t="n"/>
      <c r="Q44" s="37" t="n"/>
      <c r="R44" s="38" t="n">
        <v>0.1</v>
      </c>
      <c r="S44" s="32">
        <f>IF(N44="","",IF(O44="negro",VLOOKUP(N44,'Base perfiles'!$A$3:$O$200,8,),IF(O44="blanco",VLOOKUP(N44,'Base perfiles'!$A$3:$O$200,7),IF(O44="ANODIZADO",VLOOKUP(N44,'Base perfiles'!$A$3:$O$200,6)))))</f>
        <v/>
      </c>
      <c r="T44" s="33">
        <f>IF(S44="","",P44*Q44/VLOOKUP(N44,'Base perfiles'!$A$3:$O$200,3,)*S44*(1-R44)*1.105)</f>
        <v/>
      </c>
    </row>
    <row r="45">
      <c r="B45" s="36" t="n"/>
      <c r="C45" s="29" t="n"/>
      <c r="D45" s="36" t="n"/>
      <c r="E45" s="37" t="n"/>
      <c r="F45" s="38" t="n">
        <v>0.1</v>
      </c>
      <c r="G45" s="32">
        <f>IF(B45="","",IF(C45="negro",VLOOKUP(B45,'Base perfiles'!$A$3:$O$200,8,),IF(C45="blanco",VLOOKUP(B45,'Base perfiles'!$A$3:$O$200,7),IF(C45="ANODIZADO",VLOOKUP(B45,'Base perfiles'!$A$3:$O$200,6)))))</f>
        <v/>
      </c>
      <c r="H45" s="33">
        <f>IF(G45="","",D45*E45/VLOOKUP(B45,'Base perfiles'!$A$3:$O$200,3,)*G45*(1-F45)*1.105)</f>
        <v/>
      </c>
      <c r="N45" s="36" t="n"/>
      <c r="O45" s="29" t="n"/>
      <c r="P45" s="36" t="n"/>
      <c r="Q45" s="37" t="n"/>
      <c r="R45" s="38" t="n">
        <v>0.1</v>
      </c>
      <c r="S45" s="32">
        <f>IF(N45="","",IF(O45="negro",VLOOKUP(N45,'Base perfiles'!$A$3:$O$200,8,),IF(O45="blanco",VLOOKUP(N45,'Base perfiles'!$A$3:$O$200,7),IF(O45="ANODIZADO",VLOOKUP(N45,'Base perfiles'!$A$3:$O$200,6)))))</f>
        <v/>
      </c>
      <c r="T45" s="33">
        <f>IF(S45="","",P45*Q45/VLOOKUP(N45,'Base perfiles'!$A$3:$O$200,3,)*S45*(1-R45)*1.105)</f>
        <v/>
      </c>
    </row>
    <row r="46">
      <c r="B46" s="36" t="n"/>
      <c r="C46" s="29" t="n"/>
      <c r="D46" s="36" t="n"/>
      <c r="E46" s="37" t="n"/>
      <c r="F46" s="38" t="n">
        <v>0.1</v>
      </c>
      <c r="G46" s="32">
        <f>IF(B46="","",IF(C46="negro",VLOOKUP(B46,'Base perfiles'!$A$3:$O$200,8,),IF(C46="blanco",VLOOKUP(B46,'Base perfiles'!$A$3:$O$200,7),IF(C46="ANODIZADO",VLOOKUP(B46,'Base perfiles'!$A$3:$O$200,6)))))</f>
        <v/>
      </c>
      <c r="H46" s="33">
        <f>IF(G46="","",D46*E46/VLOOKUP(B46,'Base perfiles'!$A$3:$O$200,3,)*G46*(1-F46)*1.105)</f>
        <v/>
      </c>
      <c r="N46" s="36" t="n"/>
      <c r="O46" s="29" t="n"/>
      <c r="P46" s="36" t="n"/>
      <c r="Q46" s="37" t="n"/>
      <c r="R46" s="38" t="n">
        <v>0.1</v>
      </c>
      <c r="S46" s="32">
        <f>IF(N46="","",IF(O46="negro",VLOOKUP(N46,'Base perfiles'!$A$3:$O$200,8,),IF(O46="blanco",VLOOKUP(N46,'Base perfiles'!$A$3:$O$200,7),IF(O46="ANODIZADO",VLOOKUP(N46,'Base perfiles'!$A$3:$O$200,6)))))</f>
        <v/>
      </c>
      <c r="T46" s="33">
        <f>IF(S46="","",P46*Q46/VLOOKUP(N46,'Base perfiles'!$A$3:$O$200,3,)*S46*(1-R46)*1.105)</f>
        <v/>
      </c>
    </row>
    <row r="47">
      <c r="B47" s="36" t="n"/>
      <c r="C47" s="29" t="n"/>
      <c r="D47" s="36" t="n"/>
      <c r="E47" s="37" t="n"/>
      <c r="F47" s="38" t="n">
        <v>0.1</v>
      </c>
      <c r="G47" s="32">
        <f>IF(B47="","",IF(C47="negro",VLOOKUP(B47,'Base perfiles'!$A$3:$O$200,8,),IF(C47="blanco",VLOOKUP(B47,'Base perfiles'!$A$3:$O$200,7),IF(C47="ANODIZADO",VLOOKUP(B47,'Base perfiles'!$A$3:$O$200,6)))))</f>
        <v/>
      </c>
      <c r="H47" s="33">
        <f>IF(G47="","",D47*E47/VLOOKUP(B47,'Base perfiles'!$A$3:$O$200,3,)*G47*(1-F47)*1.105)</f>
        <v/>
      </c>
      <c r="N47" s="36" t="n"/>
      <c r="O47" s="29" t="n"/>
      <c r="P47" s="36" t="n"/>
      <c r="Q47" s="37" t="n"/>
      <c r="R47" s="38" t="n">
        <v>0.1</v>
      </c>
      <c r="S47" s="32">
        <f>IF(N47="","",IF(O47="negro",VLOOKUP(N47,'Base perfiles'!$A$3:$O$200,8,),IF(O47="blanco",VLOOKUP(N47,'Base perfiles'!$A$3:$O$200,7),IF(O47="ANODIZADO",VLOOKUP(N47,'Base perfiles'!$A$3:$O$200,6)))))</f>
        <v/>
      </c>
      <c r="T47" s="33">
        <f>IF(S47="","",P47*Q47/VLOOKUP(N47,'Base perfiles'!$A$3:$O$200,3,)*S47*(1-R47)*1.105)</f>
        <v/>
      </c>
    </row>
    <row r="48">
      <c r="B48" s="36" t="n"/>
      <c r="C48" s="29" t="n"/>
      <c r="D48" s="36" t="n"/>
      <c r="E48" s="37" t="n"/>
      <c r="F48" s="38" t="n">
        <v>0.1</v>
      </c>
      <c r="G48" s="32">
        <f>IF(B48="","",IF(C48="negro",VLOOKUP(B48,'Base perfiles'!$A$3:$O$200,8,),IF(C48="blanco",VLOOKUP(B48,'Base perfiles'!$A$3:$O$200,7),IF(C48="ANODIZADO",VLOOKUP(B48,'Base perfiles'!$A$3:$O$200,6)))))</f>
        <v/>
      </c>
      <c r="H48" s="33">
        <f>IF(G48="","",D48*E48/VLOOKUP(B48,'Base perfiles'!$A$3:$O$200,3,)*G48*(1-F48)*1.105)</f>
        <v/>
      </c>
      <c r="N48" s="36" t="n"/>
      <c r="O48" s="29" t="n"/>
      <c r="P48" s="36" t="n"/>
      <c r="Q48" s="37" t="n"/>
      <c r="R48" s="38" t="n">
        <v>0.1</v>
      </c>
      <c r="S48" s="32">
        <f>IF(N48="","",IF(O48="negro",VLOOKUP(N48,'Base perfiles'!$A$3:$O$200,8,),IF(O48="blanco",VLOOKUP(N48,'Base perfiles'!$A$3:$O$200,7),IF(O48="ANODIZADO",VLOOKUP(N48,'Base perfiles'!$A$3:$O$200,6)))))</f>
        <v/>
      </c>
      <c r="T48" s="33">
        <f>IF(S48="","",P48*Q48/VLOOKUP(N48,'Base perfiles'!$A$3:$O$200,3,)*S48*(1-R48)*1.105)</f>
        <v/>
      </c>
    </row>
    <row r="49">
      <c r="B49" s="36" t="n"/>
      <c r="C49" s="29" t="n"/>
      <c r="D49" s="36" t="n"/>
      <c r="E49" s="37" t="n"/>
      <c r="F49" s="38" t="n">
        <v>0.1</v>
      </c>
      <c r="G49" s="32">
        <f>IF(B49="","",IF(C49="negro",VLOOKUP(B49,'Base perfiles'!$A$3:$O$200,8,),IF(C49="blanco",VLOOKUP(B49,'Base perfiles'!$A$3:$O$200,7),IF(C49="ANODIZADO",VLOOKUP(B49,'Base perfiles'!$A$3:$O$200,6)))))</f>
        <v/>
      </c>
      <c r="H49" s="33">
        <f>IF(G49="","",D49*E49/VLOOKUP(B49,'Base perfiles'!$A$3:$O$200,3,)*G49*(1-F49)*1.105)</f>
        <v/>
      </c>
      <c r="N49" s="36" t="n"/>
      <c r="O49" s="29" t="n"/>
      <c r="P49" s="36" t="n"/>
      <c r="Q49" s="37" t="n"/>
      <c r="R49" s="38" t="n">
        <v>0.1</v>
      </c>
      <c r="S49" s="32">
        <f>IF(N49="","",IF(O49="negro",VLOOKUP(N49,'Base perfiles'!$A$3:$O$200,8,),IF(O49="blanco",VLOOKUP(N49,'Base perfiles'!$A$3:$O$200,7),IF(O49="ANODIZADO",VLOOKUP(N49,'Base perfiles'!$A$3:$O$200,6)))))</f>
        <v/>
      </c>
      <c r="T49" s="33">
        <f>IF(S49="","",P49*Q49/VLOOKUP(N49,'Base perfiles'!$A$3:$O$200,3,)*S49*(1-R49)*1.105)</f>
        <v/>
      </c>
    </row>
    <row r="50">
      <c r="B50" s="36" t="n"/>
      <c r="C50" s="29" t="n"/>
      <c r="D50" s="36" t="n"/>
      <c r="E50" s="37" t="n"/>
      <c r="F50" s="38" t="n">
        <v>0.1</v>
      </c>
      <c r="G50" s="32">
        <f>IF(B50="","",IF(C50="negro",VLOOKUP(B50,'Base perfiles'!$A$3:$O$200,8,),IF(C50="blanco",VLOOKUP(B50,'Base perfiles'!$A$3:$O$200,7),IF(C50="ANODIZADO",VLOOKUP(B50,'Base perfiles'!$A$3:$O$200,6)))))</f>
        <v/>
      </c>
      <c r="H50" s="33">
        <f>IF(G50="","",D50*E50/VLOOKUP(B50,'Base perfiles'!$A$3:$O$200,3,)*G50*(1-F50)*1.105)</f>
        <v/>
      </c>
      <c r="N50" s="36" t="n"/>
      <c r="O50" s="29" t="n"/>
      <c r="P50" s="36" t="n"/>
      <c r="Q50" s="37" t="n"/>
      <c r="R50" s="38" t="n">
        <v>0.1</v>
      </c>
      <c r="S50" s="32">
        <f>IF(N50="","",IF(O50="negro",VLOOKUP(N50,'Base perfiles'!$A$3:$O$200,8,),IF(O50="blanco",VLOOKUP(N50,'Base perfiles'!$A$3:$O$200,7),IF(O50="ANODIZADO",VLOOKUP(N50,'Base perfiles'!$A$3:$O$200,6)))))</f>
        <v/>
      </c>
      <c r="T50" s="33">
        <f>IF(S50="","",P50*Q50/VLOOKUP(N50,'Base perfiles'!$A$3:$O$200,3,)*S50*(1-R50)*1.105)</f>
        <v/>
      </c>
    </row>
    <row r="51">
      <c r="B51" s="36" t="n"/>
      <c r="C51" s="29" t="n"/>
      <c r="D51" s="36" t="n"/>
      <c r="E51" s="37" t="n"/>
      <c r="F51" s="38" t="n">
        <v>0.1</v>
      </c>
      <c r="G51" s="32">
        <f>IF(B51="","",IF(C51="negro",VLOOKUP(B51,'Base perfiles'!$A$3:$O$200,8,),IF(C51="blanco",VLOOKUP(B51,'Base perfiles'!$A$3:$O$200,7),IF(C51="ANODIZADO",VLOOKUP(B51,'Base perfiles'!$A$3:$O$200,6)))))</f>
        <v/>
      </c>
      <c r="H51" s="33">
        <f>IF(G51="","",D51*E51/VLOOKUP(B51,'Base perfiles'!$A$3:$O$200,3,)*G51*(1-F51)*1.105)</f>
        <v/>
      </c>
      <c r="N51" s="36" t="n"/>
      <c r="O51" s="29" t="n"/>
      <c r="P51" s="36" t="n"/>
      <c r="Q51" s="37" t="n"/>
      <c r="R51" s="38" t="n">
        <v>0.1</v>
      </c>
      <c r="S51" s="32">
        <f>IF(N51="","",IF(O51="negro",VLOOKUP(N51,'Base perfiles'!$A$3:$O$200,8,),IF(O51="blanco",VLOOKUP(N51,'Base perfiles'!$A$3:$O$200,7),IF(O51="ANODIZADO",VLOOKUP(N51,'Base perfiles'!$A$3:$O$200,6)))))</f>
        <v/>
      </c>
      <c r="T51" s="33">
        <f>IF(S51="","",P51*Q51/VLOOKUP(N51,'Base perfiles'!$A$3:$O$200,3,)*S51*(1-R51)*1.105)</f>
        <v/>
      </c>
    </row>
    <row r="52">
      <c r="B52" s="36" t="n"/>
      <c r="C52" s="29" t="n"/>
      <c r="D52" s="36" t="n"/>
      <c r="E52" s="37" t="n"/>
      <c r="F52" s="38" t="n">
        <v>0.1</v>
      </c>
      <c r="G52" s="32">
        <f>IF(B52="","",IF(C52="negro",VLOOKUP(B52,'Base perfiles'!$A$3:$O$200,8,),IF(C52="blanco",VLOOKUP(B52,'Base perfiles'!$A$3:$O$200,7),IF(C52="ANODIZADO",VLOOKUP(B52,'Base perfiles'!$A$3:$O$200,6)))))</f>
        <v/>
      </c>
      <c r="H52" s="33">
        <f>IF(G52="","",D52*E52/VLOOKUP(B52,'Base perfiles'!$A$3:$O$200,3,)*G52*(1-F52)*1.105)</f>
        <v/>
      </c>
      <c r="N52" s="36" t="n"/>
      <c r="O52" s="29" t="n"/>
      <c r="P52" s="36" t="n"/>
      <c r="Q52" s="37" t="n"/>
      <c r="R52" s="38" t="n">
        <v>0.1</v>
      </c>
      <c r="S52" s="32">
        <f>IF(N52="","",IF(O52="negro",VLOOKUP(N52,'Base perfiles'!$A$3:$O$200,8,),IF(O52="blanco",VLOOKUP(N52,'Base perfiles'!$A$3:$O$200,7),IF(O52="ANODIZADO",VLOOKUP(N52,'Base perfiles'!$A$3:$O$200,6)))))</f>
        <v/>
      </c>
      <c r="T52" s="33">
        <f>IF(S52="","",P52*Q52/VLOOKUP(N52,'Base perfiles'!$A$3:$O$200,3,)*S52*(1-R52)*1.105)</f>
        <v/>
      </c>
    </row>
    <row r="53">
      <c r="B53" s="36" t="n"/>
      <c r="C53" s="29" t="n"/>
      <c r="D53" s="36" t="n"/>
      <c r="E53" s="37" t="n"/>
      <c r="F53" s="38" t="n">
        <v>0.1</v>
      </c>
      <c r="G53" s="32">
        <f>IF(B53="","",IF(C53="negro",VLOOKUP(B53,'Base perfiles'!$A$3:$O$200,8,),IF(C53="blanco",VLOOKUP(B53,'Base perfiles'!$A$3:$O$200,7),IF(C53="ANODIZADO",VLOOKUP(B53,'Base perfiles'!$A$3:$O$200,6)))))</f>
        <v/>
      </c>
      <c r="H53" s="33">
        <f>IF(G53="","",D53*E53/VLOOKUP(B53,'Base perfiles'!$A$3:$O$200,3,)*G53*(1-F53)*1.105)</f>
        <v/>
      </c>
      <c r="N53" s="36" t="n"/>
      <c r="O53" s="29" t="n"/>
      <c r="P53" s="36" t="n"/>
      <c r="Q53" s="37" t="n"/>
      <c r="R53" s="38" t="n">
        <v>0.1</v>
      </c>
      <c r="S53" s="32">
        <f>IF(N53="","",IF(O53="negro",VLOOKUP(N53,'Base perfiles'!$A$3:$O$200,8,),IF(O53="blanco",VLOOKUP(N53,'Base perfiles'!$A$3:$O$200,7),IF(O53="ANODIZADO",VLOOKUP(N53,'Base perfiles'!$A$3:$O$200,6)))))</f>
        <v/>
      </c>
      <c r="T53" s="33">
        <f>IF(S53="","",P53*Q53/VLOOKUP(N53,'Base perfiles'!$A$3:$O$200,3,)*S53*(1-R53)*1.105)</f>
        <v/>
      </c>
    </row>
    <row r="54">
      <c r="B54" s="36" t="n"/>
      <c r="C54" s="29" t="n"/>
      <c r="D54" s="36" t="n"/>
      <c r="E54" s="37" t="n"/>
      <c r="F54" s="38" t="n">
        <v>0.1</v>
      </c>
      <c r="G54" s="32">
        <f>IF(B54="","",IF(C54="negro",VLOOKUP(B54,'Base perfiles'!$A$3:$O$200,8,),IF(C54="blanco",VLOOKUP(B54,'Base perfiles'!$A$3:$O$200,7),IF(C54="ANODIZADO",VLOOKUP(B54,'Base perfiles'!$A$3:$O$200,6)))))</f>
        <v/>
      </c>
      <c r="H54" s="33">
        <f>IF(G54="","",D54*E54/VLOOKUP(B54,'Base perfiles'!$A$3:$O$200,3,)*G54*(1-F54)*1.105)</f>
        <v/>
      </c>
      <c r="N54" s="36" t="n"/>
      <c r="O54" s="29" t="n"/>
      <c r="P54" s="36" t="n"/>
      <c r="Q54" s="37" t="n"/>
      <c r="R54" s="38" t="n">
        <v>0.1</v>
      </c>
      <c r="S54" s="32">
        <f>IF(N54="","",IF(O54="negro",VLOOKUP(N54,'Base perfiles'!$A$3:$O$200,8,),IF(O54="blanco",VLOOKUP(N54,'Base perfiles'!$A$3:$O$200,7),IF(O54="ANODIZADO",VLOOKUP(N54,'Base perfiles'!$A$3:$O$200,6)))))</f>
        <v/>
      </c>
      <c r="T54" s="33">
        <f>IF(S54="","",P54*Q54/VLOOKUP(N54,'Base perfiles'!$A$3:$O$200,3,)*S54*(1-R54)*1.105)</f>
        <v/>
      </c>
    </row>
    <row r="55">
      <c r="B55" s="36" t="n"/>
      <c r="C55" s="29" t="n"/>
      <c r="D55" s="36" t="n"/>
      <c r="E55" s="37" t="n"/>
      <c r="F55" s="38" t="n">
        <v>0.1</v>
      </c>
      <c r="G55" s="32">
        <f>IF(B55="","",IF(C55="negro",VLOOKUP(B55,'Base perfiles'!$A$3:$O$200,8,),IF(C55="blanco",VLOOKUP(B55,'Base perfiles'!$A$3:$O$200,7),IF(C55="ANODIZADO",VLOOKUP(B55,'Base perfiles'!$A$3:$O$200,6)))))</f>
        <v/>
      </c>
      <c r="H55" s="33">
        <f>IF(G55="","",D55*E55/VLOOKUP(B55,'Base perfiles'!$A$3:$O$200,3,)*G55*(1-F55)*1.105)</f>
        <v/>
      </c>
      <c r="N55" s="36" t="n"/>
      <c r="O55" s="29" t="n"/>
      <c r="P55" s="36" t="n"/>
      <c r="Q55" s="37" t="n"/>
      <c r="R55" s="38" t="n">
        <v>0.1</v>
      </c>
      <c r="S55" s="32">
        <f>IF(N55="","",IF(O55="negro",VLOOKUP(N55,'Base perfiles'!$A$3:$O$200,8,),IF(O55="blanco",VLOOKUP(N55,'Base perfiles'!$A$3:$O$200,7),IF(O55="ANODIZADO",VLOOKUP(N55,'Base perfiles'!$A$3:$O$200,6)))))</f>
        <v/>
      </c>
      <c r="T55" s="33">
        <f>IF(S55="","",P55*Q55/VLOOKUP(N55,'Base perfiles'!$A$3:$O$200,3,)*S55*(1-R55)*1.105)</f>
        <v/>
      </c>
    </row>
    <row r="56">
      <c r="B56" s="36" t="n"/>
      <c r="C56" s="29" t="n"/>
      <c r="D56" s="36" t="n"/>
      <c r="E56" s="37" t="n"/>
      <c r="F56" s="38" t="n">
        <v>0.1</v>
      </c>
      <c r="G56" s="32">
        <f>IF(B56="","",IF(C56="negro",VLOOKUP(B56,'Base perfiles'!$A$3:$O$200,8,),IF(C56="blanco",VLOOKUP(B56,'Base perfiles'!$A$3:$O$200,7),IF(C56="ANODIZADO",VLOOKUP(B56,'Base perfiles'!$A$3:$O$200,6)))))</f>
        <v/>
      </c>
      <c r="H56" s="33">
        <f>IF(G56="","",D56*E56/VLOOKUP(B56,'Base perfiles'!$A$3:$O$200,3,)*G56*(1-F56)*1.105)</f>
        <v/>
      </c>
      <c r="N56" s="36" t="n"/>
      <c r="O56" s="29" t="n"/>
      <c r="P56" s="36" t="n"/>
      <c r="Q56" s="37" t="n"/>
      <c r="R56" s="38" t="n">
        <v>0.1</v>
      </c>
      <c r="S56" s="32">
        <f>IF(N56="","",IF(O56="negro",VLOOKUP(N56,'Base perfiles'!$A$3:$O$200,8,),IF(O56="blanco",VLOOKUP(N56,'Base perfiles'!$A$3:$O$200,7),IF(O56="ANODIZADO",VLOOKUP(N56,'Base perfiles'!$A$3:$O$200,6)))))</f>
        <v/>
      </c>
      <c r="T56" s="33">
        <f>IF(S56="","",P56*Q56/VLOOKUP(N56,'Base perfiles'!$A$3:$O$200,3,)*S56*(1-R56)*1.105)</f>
        <v/>
      </c>
    </row>
    <row r="57">
      <c r="B57" s="36" t="n"/>
      <c r="C57" s="29" t="n"/>
      <c r="D57" s="36" t="n"/>
      <c r="E57" s="37" t="n"/>
      <c r="F57" s="38" t="n">
        <v>0.1</v>
      </c>
      <c r="G57" s="32">
        <f>IF(B57="","",IF(C57="negro",VLOOKUP(B57,'Base perfiles'!$A$3:$O$200,8,),IF(C57="blanco",VLOOKUP(B57,'Base perfiles'!$A$3:$O$200,7),IF(C57="ANODIZADO",VLOOKUP(B57,'Base perfiles'!$A$3:$O$200,6)))))</f>
        <v/>
      </c>
      <c r="H57" s="33">
        <f>IF(G57="","",D57*E57/VLOOKUP(B57,'Base perfiles'!$A$3:$O$200,3,)*G57*(1-F57)*1.105)</f>
        <v/>
      </c>
      <c r="N57" s="36" t="n"/>
      <c r="O57" s="29" t="n"/>
      <c r="P57" s="36" t="n"/>
      <c r="Q57" s="37" t="n"/>
      <c r="R57" s="38" t="n">
        <v>0.1</v>
      </c>
      <c r="S57" s="32">
        <f>IF(N57="","",IF(O57="negro",VLOOKUP(N57,'Base perfiles'!$A$3:$O$200,8,),IF(O57="blanco",VLOOKUP(N57,'Base perfiles'!$A$3:$O$200,7),IF(O57="ANODIZADO",VLOOKUP(N57,'Base perfiles'!$A$3:$O$200,6)))))</f>
        <v/>
      </c>
      <c r="T57" s="33">
        <f>IF(S57="","",P57*Q57/VLOOKUP(N57,'Base perfiles'!$A$3:$O$200,3,)*S57*(1-R57)*1.105)</f>
        <v/>
      </c>
    </row>
    <row r="58">
      <c r="B58" s="36" t="n"/>
      <c r="C58" s="29" t="n"/>
      <c r="D58" s="36" t="n"/>
      <c r="E58" s="37" t="n"/>
      <c r="F58" s="38" t="n">
        <v>0.1</v>
      </c>
      <c r="G58" s="32">
        <f>IF(B58="","",IF(C58="negro",VLOOKUP(B58,'Base perfiles'!$A$3:$O$200,8,),IF(C58="blanco",VLOOKUP(B58,'Base perfiles'!$A$3:$O$200,7),IF(C58="ANODIZADO",VLOOKUP(B58,'Base perfiles'!$A$3:$O$200,6)))))</f>
        <v/>
      </c>
      <c r="H58" s="33">
        <f>IF(G58="","",D58*E58/VLOOKUP(B58,'Base perfiles'!$A$3:$O$200,3,)*G58*(1-F58)*1.105)</f>
        <v/>
      </c>
      <c r="N58" s="36" t="n"/>
      <c r="O58" s="29" t="n"/>
      <c r="P58" s="36" t="n"/>
      <c r="Q58" s="37" t="n"/>
      <c r="R58" s="38" t="n">
        <v>0.1</v>
      </c>
      <c r="S58" s="32">
        <f>IF(N58="","",IF(O58="negro",VLOOKUP(N58,'Base perfiles'!$A$3:$O$200,8,),IF(O58="blanco",VLOOKUP(N58,'Base perfiles'!$A$3:$O$200,7),IF(O58="ANODIZADO",VLOOKUP(N58,'Base perfiles'!$A$3:$O$200,6)))))</f>
        <v/>
      </c>
      <c r="T58" s="33">
        <f>IF(S58="","",P58*Q58/VLOOKUP(N58,'Base perfiles'!$A$3:$O$200,3,)*S58*(1-R58)*1.105)</f>
        <v/>
      </c>
    </row>
    <row r="59">
      <c r="B59" s="36" t="n"/>
      <c r="C59" s="29" t="n"/>
      <c r="D59" s="36" t="n"/>
      <c r="E59" s="37" t="n"/>
      <c r="F59" s="38" t="n">
        <v>0.1</v>
      </c>
      <c r="G59" s="32">
        <f>IF(B59="","",IF(C59="negro",VLOOKUP(B59,'Base perfiles'!$A$3:$O$200,8,),IF(C59="blanco",VLOOKUP(B59,'Base perfiles'!$A$3:$O$200,7),IF(C59="ANODIZADO",VLOOKUP(B59,'Base perfiles'!$A$3:$O$200,6)))))</f>
        <v/>
      </c>
      <c r="H59" s="33">
        <f>IF(G59="","",D59*E59/VLOOKUP(B59,'Base perfiles'!$A$3:$O$200,3,)*G59*(1-F59)*1.105)</f>
        <v/>
      </c>
      <c r="N59" s="36" t="n"/>
      <c r="O59" s="29" t="n"/>
      <c r="P59" s="36" t="n"/>
      <c r="Q59" s="37" t="n"/>
      <c r="R59" s="38" t="n">
        <v>0.1</v>
      </c>
      <c r="S59" s="32">
        <f>IF(N59="","",IF(O59="negro",VLOOKUP(N59,'Base perfiles'!$A$3:$O$200,8,),IF(O59="blanco",VLOOKUP(N59,'Base perfiles'!$A$3:$O$200,7),IF(O59="ANODIZADO",VLOOKUP(N59,'Base perfiles'!$A$3:$O$200,6)))))</f>
        <v/>
      </c>
      <c r="T59" s="33">
        <f>IF(S59="","",P59*Q59/VLOOKUP(N59,'Base perfiles'!$A$3:$O$200,3,)*S59*(1-R59)*1.105)</f>
        <v/>
      </c>
    </row>
    <row r="60">
      <c r="B60" s="36" t="n"/>
      <c r="C60" s="29" t="n"/>
      <c r="D60" s="36" t="n"/>
      <c r="E60" s="37" t="n"/>
      <c r="F60" s="38" t="n">
        <v>0.1</v>
      </c>
      <c r="G60" s="32">
        <f>IF(B60="","",IF(C60="negro",VLOOKUP(B60,'Base perfiles'!$A$3:$O$200,8,),IF(C60="blanco",VLOOKUP(B60,'Base perfiles'!$A$3:$O$200,7),IF(C60="ANODIZADO",VLOOKUP(B60,'Base perfiles'!$A$3:$O$200,6)))))</f>
        <v/>
      </c>
      <c r="H60" s="33">
        <f>IF(G60="","",D60*E60/VLOOKUP(B60,'Base perfiles'!$A$3:$O$200,3,)*G60*(1-F60)*1.105)</f>
        <v/>
      </c>
      <c r="N60" s="36" t="n"/>
      <c r="O60" s="29" t="n"/>
      <c r="P60" s="36" t="n"/>
      <c r="Q60" s="37" t="n"/>
      <c r="R60" s="38" t="n">
        <v>0.1</v>
      </c>
      <c r="S60" s="32">
        <f>IF(N60="","",IF(O60="negro",VLOOKUP(N60,'Base perfiles'!$A$3:$O$200,8,),IF(O60="blanco",VLOOKUP(N60,'Base perfiles'!$A$3:$O$200,7),IF(O60="ANODIZADO",VLOOKUP(N60,'Base perfiles'!$A$3:$O$200,6)))))</f>
        <v/>
      </c>
      <c r="T60" s="33">
        <f>IF(S60="","",P60*Q60/VLOOKUP(N60,'Base perfiles'!$A$3:$O$200,3,)*S60*(1-R60)*1.105)</f>
        <v/>
      </c>
    </row>
    <row r="61">
      <c r="B61" s="36" t="n"/>
      <c r="C61" s="29" t="n"/>
      <c r="D61" s="36" t="n"/>
      <c r="E61" s="37" t="n"/>
      <c r="F61" s="38" t="n">
        <v>0.1</v>
      </c>
      <c r="G61" s="32">
        <f>IF(B61="","",IF(C61="negro",VLOOKUP(B61,'Base perfiles'!$A$3:$O$200,8,),IF(C61="blanco",VLOOKUP(B61,'Base perfiles'!$A$3:$O$200,7),IF(C61="ANODIZADO",VLOOKUP(B61,'Base perfiles'!$A$3:$O$200,6)))))</f>
        <v/>
      </c>
      <c r="H61" s="33">
        <f>IF(G61="","",D61*E61/VLOOKUP(B61,'Base perfiles'!$A$3:$O$200,3,)*G61*(1-F61)*1.105)</f>
        <v/>
      </c>
      <c r="N61" s="36" t="n"/>
      <c r="O61" s="29" t="n"/>
      <c r="P61" s="36" t="n"/>
      <c r="Q61" s="37" t="n"/>
      <c r="R61" s="38" t="n">
        <v>0.1</v>
      </c>
      <c r="S61" s="32">
        <f>IF(N61="","",IF(O61="negro",VLOOKUP(N61,'Base perfiles'!$A$3:$O$200,8,),IF(O61="blanco",VLOOKUP(N61,'Base perfiles'!$A$3:$O$200,7),IF(O61="ANODIZADO",VLOOKUP(N61,'Base perfiles'!$A$3:$O$200,6)))))</f>
        <v/>
      </c>
      <c r="T61" s="33">
        <f>IF(S61="","",P61*Q61/VLOOKUP(N61,'Base perfiles'!$A$3:$O$200,3,)*S61*(1-R61)*1.105)</f>
        <v/>
      </c>
    </row>
    <row r="62">
      <c r="B62" s="36" t="n"/>
      <c r="C62" s="29" t="n"/>
      <c r="D62" s="36" t="n"/>
      <c r="E62" s="37" t="n"/>
      <c r="F62" s="38" t="n">
        <v>0.1</v>
      </c>
      <c r="G62" s="32">
        <f>IF(B62="","",IF(C62="negro",VLOOKUP(B62,'Base perfiles'!$A$3:$O$200,8,),IF(C62="blanco",VLOOKUP(B62,'Base perfiles'!$A$3:$O$200,7),IF(C62="ANODIZADO",VLOOKUP(B62,'Base perfiles'!$A$3:$O$200,6)))))</f>
        <v/>
      </c>
      <c r="H62" s="33">
        <f>IF(G62="","",D62*E62/VLOOKUP(B62,'Base perfiles'!$A$3:$O$200,3,)*G62*(1-F62)*1.105)</f>
        <v/>
      </c>
      <c r="N62" s="36" t="n"/>
      <c r="O62" s="29" t="n"/>
      <c r="P62" s="36" t="n"/>
      <c r="Q62" s="37" t="n"/>
      <c r="R62" s="38" t="n">
        <v>0.1</v>
      </c>
      <c r="S62" s="32">
        <f>IF(N62="","",IF(O62="negro",VLOOKUP(N62,'Base perfiles'!$A$3:$O$200,8,),IF(O62="blanco",VLOOKUP(N62,'Base perfiles'!$A$3:$O$200,7),IF(O62="ANODIZADO",VLOOKUP(N62,'Base perfiles'!$A$3:$O$200,6)))))</f>
        <v/>
      </c>
      <c r="T62" s="33">
        <f>IF(S62="","",P62*Q62/VLOOKUP(N62,'Base perfiles'!$A$3:$O$200,3,)*S62*(1-R62)*1.105)</f>
        <v/>
      </c>
    </row>
    <row r="63">
      <c r="B63" s="36" t="n"/>
      <c r="C63" s="29" t="n"/>
      <c r="D63" s="36" t="n"/>
      <c r="E63" s="37" t="n"/>
      <c r="F63" s="38" t="n">
        <v>0.1</v>
      </c>
      <c r="G63" s="32">
        <f>IF(B63="","",IF(C63="negro",VLOOKUP(B63,'Base perfiles'!$A$3:$O$200,8,),IF(C63="blanco",VLOOKUP(B63,'Base perfiles'!$A$3:$O$200,7),IF(C63="ANODIZADO",VLOOKUP(B63,'Base perfiles'!$A$3:$O$200,6)))))</f>
        <v/>
      </c>
      <c r="H63" s="33">
        <f>IF(G63="","",D63*E63/VLOOKUP(B63,'Base perfiles'!$A$3:$O$200,3,)*G63*(1-F63)*1.105)</f>
        <v/>
      </c>
      <c r="N63" s="36" t="n"/>
      <c r="O63" s="29" t="n"/>
      <c r="P63" s="36" t="n"/>
      <c r="Q63" s="37" t="n"/>
      <c r="R63" s="38" t="n">
        <v>0.1</v>
      </c>
      <c r="S63" s="32">
        <f>IF(N63="","",IF(O63="negro",VLOOKUP(N63,'Base perfiles'!$A$3:$O$200,8,),IF(O63="blanco",VLOOKUP(N63,'Base perfiles'!$A$3:$O$200,7),IF(O63="ANODIZADO",VLOOKUP(N63,'Base perfiles'!$A$3:$O$200,6)))))</f>
        <v/>
      </c>
      <c r="T63" s="33">
        <f>IF(S63="","",P63*Q63/VLOOKUP(N63,'Base perfiles'!$A$3:$O$200,3,)*S63*(1-R63)*1.105)</f>
        <v/>
      </c>
    </row>
    <row r="64">
      <c r="B64" s="36" t="n"/>
      <c r="C64" s="29" t="n"/>
      <c r="D64" s="36" t="n"/>
      <c r="E64" s="37" t="n"/>
      <c r="F64" s="38" t="n">
        <v>0.1</v>
      </c>
      <c r="G64" s="32">
        <f>IF(B64="","",IF(C64="negro",VLOOKUP(B64,'Base perfiles'!$A$3:$O$200,8,),IF(C64="blanco",VLOOKUP(B64,'Base perfiles'!$A$3:$O$200,7),IF(C64="ANODIZADO",VLOOKUP(B64,'Base perfiles'!$A$3:$O$200,6)))))</f>
        <v/>
      </c>
      <c r="H64" s="33">
        <f>IF(G64="","",D64*E64/VLOOKUP(B64,'Base perfiles'!$A$3:$O$200,3,)*G64*(1-F64)*1.105)</f>
        <v/>
      </c>
      <c r="N64" s="36" t="n"/>
      <c r="O64" s="29" t="n"/>
      <c r="P64" s="36" t="n"/>
      <c r="Q64" s="37" t="n"/>
      <c r="R64" s="38" t="n">
        <v>0.1</v>
      </c>
      <c r="S64" s="32">
        <f>IF(N64="","",IF(O64="negro",VLOOKUP(N64,'Base perfiles'!$A$3:$O$200,8,),IF(O64="blanco",VLOOKUP(N64,'Base perfiles'!$A$3:$O$200,7),IF(O64="ANODIZADO",VLOOKUP(N64,'Base perfiles'!$A$3:$O$200,6)))))</f>
        <v/>
      </c>
      <c r="T64" s="33">
        <f>IF(S64="","",P64*Q64/VLOOKUP(N64,'Base perfiles'!$A$3:$O$200,3,)*S64*(1-R64)*1.105)</f>
        <v/>
      </c>
    </row>
    <row r="65">
      <c r="B65" s="36" t="n"/>
      <c r="C65" s="29" t="n"/>
      <c r="D65" s="36" t="n"/>
      <c r="E65" s="37" t="n"/>
      <c r="F65" s="38" t="n">
        <v>0.1</v>
      </c>
      <c r="G65" s="32">
        <f>IF(B65="","",IF(C65="negro",VLOOKUP(B65,'Base perfiles'!$A$3:$O$200,8,),IF(C65="blanco",VLOOKUP(B65,'Base perfiles'!$A$3:$O$200,7),IF(C65="ANODIZADO",VLOOKUP(B65,'Base perfiles'!$A$3:$O$200,6)))))</f>
        <v/>
      </c>
      <c r="H65" s="33">
        <f>IF(G65="","",D65*E65/VLOOKUP(B65,'Base perfiles'!$A$3:$O$200,3,)*G65*(1-F65)*1.105)</f>
        <v/>
      </c>
      <c r="N65" s="36" t="n"/>
      <c r="O65" s="29" t="n"/>
      <c r="P65" s="36" t="n"/>
      <c r="Q65" s="37" t="n"/>
      <c r="R65" s="38" t="n">
        <v>0.1</v>
      </c>
      <c r="S65" s="32">
        <f>IF(N65="","",IF(O65="negro",VLOOKUP(N65,'Base perfiles'!$A$3:$O$200,8,),IF(O65="blanco",VLOOKUP(N65,'Base perfiles'!$A$3:$O$200,7),IF(O65="ANODIZADO",VLOOKUP(N65,'Base perfiles'!$A$3:$O$200,6)))))</f>
        <v/>
      </c>
      <c r="T65" s="33">
        <f>IF(S65="","",P65*Q65/VLOOKUP(N65,'Base perfiles'!$A$3:$O$200,3,)*S65*(1-R65)*1.105)</f>
        <v/>
      </c>
    </row>
    <row r="66">
      <c r="B66" s="36" t="n"/>
      <c r="C66" s="29" t="n"/>
      <c r="D66" s="36" t="n"/>
      <c r="E66" s="37" t="n"/>
      <c r="F66" s="38" t="n">
        <v>0.1</v>
      </c>
      <c r="G66" s="32">
        <f>IF(B66="","",IF(C66="negro",VLOOKUP(B66,'Base perfiles'!$A$3:$O$200,8,),IF(C66="blanco",VLOOKUP(B66,'Base perfiles'!$A$3:$O$200,7),IF(C66="ANODIZADO",VLOOKUP(B66,'Base perfiles'!$A$3:$O$200,6)))))</f>
        <v/>
      </c>
      <c r="H66" s="33">
        <f>IF(G66="","",D66*E66/VLOOKUP(B66,'Base perfiles'!$A$3:$O$200,3,)*G66*(1-F66)*1.105)</f>
        <v/>
      </c>
      <c r="N66" s="36" t="n"/>
      <c r="O66" s="29" t="n"/>
      <c r="P66" s="36" t="n"/>
      <c r="Q66" s="37" t="n"/>
      <c r="R66" s="38" t="n">
        <v>0.1</v>
      </c>
      <c r="S66" s="32">
        <f>IF(N66="","",IF(O66="negro",VLOOKUP(N66,'Base perfiles'!$A$3:$O$200,8,),IF(O66="blanco",VLOOKUP(N66,'Base perfiles'!$A$3:$O$200,7),IF(O66="ANODIZADO",VLOOKUP(N66,'Base perfiles'!$A$3:$O$200,6)))))</f>
        <v/>
      </c>
      <c r="T66" s="33">
        <f>IF(S66="","",P66*Q66/VLOOKUP(N66,'Base perfiles'!$A$3:$O$200,3,)*S66*(1-R66)*1.105)</f>
        <v/>
      </c>
    </row>
    <row r="67">
      <c r="B67" s="36" t="n"/>
      <c r="C67" s="29" t="n"/>
      <c r="D67" s="36" t="n"/>
      <c r="E67" s="37" t="n"/>
      <c r="F67" s="38" t="n">
        <v>0.1</v>
      </c>
      <c r="G67" s="32">
        <f>IF(B67="","",IF(C67="negro",VLOOKUP(B67,'Base perfiles'!$A$3:$O$200,8,),IF(C67="blanco",VLOOKUP(B67,'Base perfiles'!$A$3:$O$200,7),IF(C67="ANODIZADO",VLOOKUP(B67,'Base perfiles'!$A$3:$O$200,6)))))</f>
        <v/>
      </c>
      <c r="H67" s="33">
        <f>IF(G67="","",D67*E67/VLOOKUP(B67,'Base perfiles'!$A$3:$O$200,3,)*G67*(1-F67)*1.105)</f>
        <v/>
      </c>
      <c r="N67" s="36" t="n"/>
      <c r="O67" s="29" t="n"/>
      <c r="P67" s="36" t="n"/>
      <c r="Q67" s="37" t="n"/>
      <c r="R67" s="38" t="n">
        <v>0.1</v>
      </c>
      <c r="S67" s="32">
        <f>IF(N67="","",IF(O67="negro",VLOOKUP(N67,'Base perfiles'!$A$3:$O$200,8,),IF(O67="blanco",VLOOKUP(N67,'Base perfiles'!$A$3:$O$200,7),IF(O67="ANODIZADO",VLOOKUP(N67,'Base perfiles'!$A$3:$O$200,6)))))</f>
        <v/>
      </c>
      <c r="T67" s="33">
        <f>IF(S67="","",P67*Q67/VLOOKUP(N67,'Base perfiles'!$A$3:$O$200,3,)*S67*(1-R67)*1.105)</f>
        <v/>
      </c>
    </row>
    <row r="68">
      <c r="B68" s="36" t="n"/>
      <c r="C68" s="29" t="n"/>
      <c r="D68" s="36" t="n"/>
      <c r="E68" s="37" t="n"/>
      <c r="F68" s="38" t="n">
        <v>0.1</v>
      </c>
      <c r="G68" s="32">
        <f>IF(B68="","",IF(C68="negro",VLOOKUP(B68,'Base perfiles'!$A$3:$O$200,8,),IF(C68="blanco",VLOOKUP(B68,'Base perfiles'!$A$3:$O$200,7),IF(C68="ANODIZADO",VLOOKUP(B68,'Base perfiles'!$A$3:$O$200,6)))))</f>
        <v/>
      </c>
      <c r="H68" s="33">
        <f>IF(G68="","",D68*E68/VLOOKUP(B68,'Base perfiles'!$A$3:$O$200,3,)*G68*(1-F68)*1.105)</f>
        <v/>
      </c>
      <c r="N68" s="36" t="n"/>
      <c r="O68" s="29" t="n"/>
      <c r="P68" s="36" t="n"/>
      <c r="Q68" s="37" t="n"/>
      <c r="R68" s="38" t="n">
        <v>0.1</v>
      </c>
      <c r="S68" s="32">
        <f>IF(N68="","",IF(O68="negro",VLOOKUP(N68,'Base perfiles'!$A$3:$O$200,8,),IF(O68="blanco",VLOOKUP(N68,'Base perfiles'!$A$3:$O$200,7),IF(O68="ANODIZADO",VLOOKUP(N68,'Base perfiles'!$A$3:$O$200,6)))))</f>
        <v/>
      </c>
      <c r="T68" s="33">
        <f>IF(S68="","",P68*Q68/VLOOKUP(N68,'Base perfiles'!$A$3:$O$200,3,)*S68*(1-R68)*1.105)</f>
        <v/>
      </c>
    </row>
    <row r="69">
      <c r="B69" s="36" t="n"/>
      <c r="C69" s="29" t="n"/>
      <c r="D69" s="36" t="n"/>
      <c r="E69" s="37" t="n"/>
      <c r="F69" s="38" t="n">
        <v>0.1</v>
      </c>
      <c r="G69" s="32">
        <f>IF(B69="","",IF(C69="negro",VLOOKUP(B69,'Base perfiles'!$A$3:$O$200,8,),IF(C69="blanco",VLOOKUP(B69,'Base perfiles'!$A$3:$O$200,7),IF(C69="ANODIZADO",VLOOKUP(B69,'Base perfiles'!$A$3:$O$200,6)))))</f>
        <v/>
      </c>
      <c r="H69" s="33">
        <f>IF(G69="","",D69*E69/VLOOKUP(B69,'Base perfiles'!$A$3:$O$200,3,)*G69*(1-F69)*1.105)</f>
        <v/>
      </c>
      <c r="N69" s="36" t="n"/>
      <c r="O69" s="29" t="n"/>
      <c r="P69" s="36" t="n"/>
      <c r="Q69" s="37" t="n"/>
      <c r="R69" s="38" t="n">
        <v>0.1</v>
      </c>
      <c r="S69" s="32">
        <f>IF(N69="","",IF(O69="negro",VLOOKUP(N69,'Base perfiles'!$A$3:$O$200,8,),IF(O69="blanco",VLOOKUP(N69,'Base perfiles'!$A$3:$O$200,7),IF(O69="ANODIZADO",VLOOKUP(N69,'Base perfiles'!$A$3:$O$200,6)))))</f>
        <v/>
      </c>
      <c r="T69" s="33">
        <f>IF(S69="","",P69*Q69/VLOOKUP(N69,'Base perfiles'!$A$3:$O$200,3,)*S69*(1-R69)*1.105)</f>
        <v/>
      </c>
    </row>
    <row r="70">
      <c r="B70" s="36" t="n"/>
      <c r="C70" s="29" t="n"/>
      <c r="D70" s="36" t="n"/>
      <c r="E70" s="37" t="n"/>
      <c r="F70" s="38" t="n">
        <v>0.1</v>
      </c>
      <c r="G70" s="32">
        <f>IF(B70="","",IF(C70="negro",VLOOKUP(B70,'Base perfiles'!$A$3:$O$200,8,),IF(C70="blanco",VLOOKUP(B70,'Base perfiles'!$A$3:$O$200,7),IF(C70="ANODIZADO",VLOOKUP(B70,'Base perfiles'!$A$3:$O$200,6)))))</f>
        <v/>
      </c>
      <c r="H70" s="33">
        <f>IF(G70="","",D70*E70/VLOOKUP(B70,'Base perfiles'!$A$3:$O$200,3,)*G70*(1-F70)*1.105)</f>
        <v/>
      </c>
      <c r="N70" s="36" t="n"/>
      <c r="O70" s="29" t="n"/>
      <c r="P70" s="36" t="n"/>
      <c r="Q70" s="37" t="n"/>
      <c r="R70" s="38" t="n">
        <v>0.1</v>
      </c>
      <c r="S70" s="32">
        <f>IF(N70="","",IF(O70="negro",VLOOKUP(N70,'Base perfiles'!$A$3:$O$200,8,),IF(O70="blanco",VLOOKUP(N70,'Base perfiles'!$A$3:$O$200,7),IF(O70="ANODIZADO",VLOOKUP(N70,'Base perfiles'!$A$3:$O$200,6)))))</f>
        <v/>
      </c>
      <c r="T70" s="33">
        <f>IF(S70="","",P70*Q70/VLOOKUP(N70,'Base perfiles'!$A$3:$O$200,3,)*S70*(1-R70)*1.105)</f>
        <v/>
      </c>
    </row>
    <row r="71">
      <c r="B71" s="36" t="n"/>
      <c r="C71" s="29" t="n"/>
      <c r="D71" s="36" t="n"/>
      <c r="E71" s="37" t="n"/>
      <c r="F71" s="38" t="n">
        <v>0.1</v>
      </c>
      <c r="G71" s="32">
        <f>IF(B71="","",IF(C71="negro",VLOOKUP(B71,'Base perfiles'!$A$3:$O$200,8,),IF(C71="blanco",VLOOKUP(B71,'Base perfiles'!$A$3:$O$200,7),IF(C71="ANODIZADO",VLOOKUP(B71,'Base perfiles'!$A$3:$O$200,6)))))</f>
        <v/>
      </c>
      <c r="H71" s="33">
        <f>IF(G71="","",D71*E71/VLOOKUP(B71,'Base perfiles'!$A$3:$O$200,3,)*G71*(1-F71)*1.105)</f>
        <v/>
      </c>
      <c r="N71" s="36" t="n"/>
      <c r="O71" s="29" t="n"/>
      <c r="P71" s="36" t="n"/>
      <c r="Q71" s="37" t="n"/>
      <c r="R71" s="38" t="n">
        <v>0.1</v>
      </c>
      <c r="S71" s="32">
        <f>IF(N71="","",IF(O71="negro",VLOOKUP(N71,'Base perfiles'!$A$3:$O$200,8,),IF(O71="blanco",VLOOKUP(N71,'Base perfiles'!$A$3:$O$200,7),IF(O71="ANODIZADO",VLOOKUP(N71,'Base perfiles'!$A$3:$O$200,6)))))</f>
        <v/>
      </c>
      <c r="T71" s="33">
        <f>IF(S71="","",P71*Q71/VLOOKUP(N71,'Base perfiles'!$A$3:$O$200,3,)*S71*(1-R71)*1.105)</f>
        <v/>
      </c>
    </row>
    <row r="72">
      <c r="B72" s="36" t="n"/>
      <c r="C72" s="29" t="n"/>
      <c r="D72" s="36" t="n"/>
      <c r="E72" s="37" t="n"/>
      <c r="F72" s="38" t="n">
        <v>0.1</v>
      </c>
      <c r="G72" s="32">
        <f>IF(B72="","",IF(C72="negro",VLOOKUP(B72,'Base perfiles'!$A$3:$O$200,8,),IF(C72="blanco",VLOOKUP(B72,'Base perfiles'!$A$3:$O$200,7),IF(C72="ANODIZADO",VLOOKUP(B72,'Base perfiles'!$A$3:$O$200,6)))))</f>
        <v/>
      </c>
      <c r="H72" s="33">
        <f>IF(G72="","",D72*E72/VLOOKUP(B72,'Base perfiles'!$A$3:$O$200,3,)*G72*(1-F72)*1.105)</f>
        <v/>
      </c>
      <c r="N72" s="36" t="n"/>
      <c r="O72" s="29" t="n"/>
      <c r="P72" s="36" t="n"/>
      <c r="Q72" s="37" t="n"/>
      <c r="R72" s="38" t="n">
        <v>0.1</v>
      </c>
      <c r="S72" s="32">
        <f>IF(N72="","",IF(O72="negro",VLOOKUP(N72,'Base perfiles'!$A$3:$O$200,8,),IF(O72="blanco",VLOOKUP(N72,'Base perfiles'!$A$3:$O$200,7),IF(O72="ANODIZADO",VLOOKUP(N72,'Base perfiles'!$A$3:$O$200,6)))))</f>
        <v/>
      </c>
      <c r="T72" s="33">
        <f>IF(S72="","",P72*Q72/VLOOKUP(N72,'Base perfiles'!$A$3:$O$200,3,)*S72*(1-R72)*1.105)</f>
        <v/>
      </c>
    </row>
    <row r="73">
      <c r="B73" s="36" t="n"/>
      <c r="C73" s="29" t="n"/>
      <c r="D73" s="36" t="n"/>
      <c r="E73" s="37" t="n"/>
      <c r="F73" s="38" t="n">
        <v>0.1</v>
      </c>
      <c r="G73" s="32">
        <f>IF(B73="","",IF(C73="negro",VLOOKUP(B73,'Base perfiles'!$A$3:$O$200,8,),IF(C73="blanco",VLOOKUP(B73,'Base perfiles'!$A$3:$O$200,7),IF(C73="ANODIZADO",VLOOKUP(B73,'Base perfiles'!$A$3:$O$200,6)))))</f>
        <v/>
      </c>
      <c r="H73" s="33">
        <f>IF(G73="","",D73*E73/VLOOKUP(B73,'Base perfiles'!$A$3:$O$200,3,)*G73*(1-F73)*1.105)</f>
        <v/>
      </c>
      <c r="N73" s="36" t="n"/>
      <c r="O73" s="29" t="n"/>
      <c r="P73" s="36" t="n"/>
      <c r="Q73" s="37" t="n"/>
      <c r="R73" s="38" t="n">
        <v>0.1</v>
      </c>
      <c r="S73" s="32">
        <f>IF(N73="","",IF(O73="negro",VLOOKUP(N73,'Base perfiles'!$A$3:$O$200,8,),IF(O73="blanco",VLOOKUP(N73,'Base perfiles'!$A$3:$O$200,7),IF(O73="ANODIZADO",VLOOKUP(N73,'Base perfiles'!$A$3:$O$200,6)))))</f>
        <v/>
      </c>
      <c r="T73" s="33">
        <f>IF(S73="","",P73*Q73/VLOOKUP(N73,'Base perfiles'!$A$3:$O$200,3,)*S73*(1-R73)*1.105)</f>
        <v/>
      </c>
    </row>
    <row r="74">
      <c r="B74" s="36" t="n"/>
      <c r="C74" s="29" t="n"/>
      <c r="D74" s="36" t="n"/>
      <c r="E74" s="37" t="n"/>
      <c r="F74" s="38" t="n">
        <v>0.1</v>
      </c>
      <c r="G74" s="32">
        <f>IF(B74="","",IF(C74="negro",VLOOKUP(B74,'Base perfiles'!$A$3:$O$200,8,),IF(C74="blanco",VLOOKUP(B74,'Base perfiles'!$A$3:$O$200,7),IF(C74="ANODIZADO",VLOOKUP(B74,'Base perfiles'!$A$3:$O$200,6)))))</f>
        <v/>
      </c>
      <c r="H74" s="33">
        <f>IF(G74="","",D74*E74/VLOOKUP(B74,'Base perfiles'!$A$3:$O$200,3,)*G74*(1-F74)*1.105)</f>
        <v/>
      </c>
      <c r="N74" s="36" t="n"/>
      <c r="O74" s="29" t="n"/>
      <c r="P74" s="36" t="n"/>
      <c r="Q74" s="37" t="n"/>
      <c r="R74" s="38" t="n">
        <v>0.1</v>
      </c>
      <c r="S74" s="32">
        <f>IF(N74="","",IF(O74="negro",VLOOKUP(N74,'Base perfiles'!$A$3:$O$200,8,),IF(O74="blanco",VLOOKUP(N74,'Base perfiles'!$A$3:$O$200,7),IF(O74="ANODIZADO",VLOOKUP(N74,'Base perfiles'!$A$3:$O$200,6)))))</f>
        <v/>
      </c>
      <c r="T74" s="33">
        <f>IF(S74="","",P74*Q74/VLOOKUP(N74,'Base perfiles'!$A$3:$O$200,3,)*S74*(1-R74)*1.105)</f>
        <v/>
      </c>
    </row>
    <row r="75">
      <c r="B75" s="36" t="n"/>
      <c r="C75" s="29" t="n"/>
      <c r="D75" s="36" t="n"/>
      <c r="E75" s="37" t="n"/>
      <c r="F75" s="38" t="n">
        <v>0.1</v>
      </c>
      <c r="G75" s="32">
        <f>IF(B75="","",IF(C75="negro",VLOOKUP(B75,'Base perfiles'!$A$3:$O$200,8,),IF(C75="blanco",VLOOKUP(B75,'Base perfiles'!$A$3:$O$200,7),IF(C75="ANODIZADO",VLOOKUP(B75,'Base perfiles'!$A$3:$O$200,6)))))</f>
        <v/>
      </c>
      <c r="H75" s="33">
        <f>IF(G75="","",D75*E75/VLOOKUP(B75,'Base perfiles'!$A$3:$O$200,3,)*G75*(1-F75)*1.105)</f>
        <v/>
      </c>
      <c r="N75" s="36" t="n"/>
      <c r="O75" s="29" t="n"/>
      <c r="P75" s="36" t="n"/>
      <c r="Q75" s="37" t="n"/>
      <c r="R75" s="38" t="n">
        <v>0.1</v>
      </c>
      <c r="S75" s="32">
        <f>IF(N75="","",IF(O75="negro",VLOOKUP(N75,'Base perfiles'!$A$3:$O$200,8,),IF(O75="blanco",VLOOKUP(N75,'Base perfiles'!$A$3:$O$200,7),IF(O75="ANODIZADO",VLOOKUP(N75,'Base perfiles'!$A$3:$O$200,6)))))</f>
        <v/>
      </c>
      <c r="T75" s="33">
        <f>IF(S75="","",P75*Q75/VLOOKUP(N75,'Base perfiles'!$A$3:$O$200,3,)*S75*(1-R75)*1.105)</f>
        <v/>
      </c>
    </row>
    <row r="76">
      <c r="B76" s="36" t="n"/>
      <c r="C76" s="29" t="n"/>
      <c r="D76" s="36" t="n"/>
      <c r="E76" s="37" t="n"/>
      <c r="F76" s="38" t="n">
        <v>0.1</v>
      </c>
      <c r="G76" s="32">
        <f>IF(B76="","",IF(C76="negro",VLOOKUP(B76,'Base perfiles'!$A$3:$O$200,8,),IF(C76="blanco",VLOOKUP(B76,'Base perfiles'!$A$3:$O$200,7),IF(C76="ANODIZADO",VLOOKUP(B76,'Base perfiles'!$A$3:$O$200,6)))))</f>
        <v/>
      </c>
      <c r="H76" s="33">
        <f>IF(G76="","",D76*E76/VLOOKUP(B76,'Base perfiles'!$A$3:$O$200,3,)*G76*(1-F76)*1.105)</f>
        <v/>
      </c>
      <c r="N76" s="36" t="n"/>
      <c r="O76" s="29" t="n"/>
      <c r="P76" s="36" t="n"/>
      <c r="Q76" s="37" t="n"/>
      <c r="R76" s="38" t="n">
        <v>0.1</v>
      </c>
      <c r="S76" s="32">
        <f>IF(N76="","",IF(O76="negro",VLOOKUP(N76,'Base perfiles'!$A$3:$O$200,8,),IF(O76="blanco",VLOOKUP(N76,'Base perfiles'!$A$3:$O$200,7),IF(O76="ANODIZADO",VLOOKUP(N76,'Base perfiles'!$A$3:$O$200,6)))))</f>
        <v/>
      </c>
      <c r="T76" s="33">
        <f>IF(S76="","",P76*Q76/VLOOKUP(N76,'Base perfiles'!$A$3:$O$200,3,)*S76*(1-R76)*1.105)</f>
        <v/>
      </c>
    </row>
    <row r="77">
      <c r="B77" s="36" t="n"/>
      <c r="C77" s="29" t="n"/>
      <c r="D77" s="36" t="n"/>
      <c r="E77" s="37" t="n"/>
      <c r="F77" s="38" t="n">
        <v>0.1</v>
      </c>
      <c r="G77" s="32">
        <f>IF(B77="","",IF(C77="negro",VLOOKUP(B77,'Base perfiles'!$A$3:$O$200,8,),IF(C77="blanco",VLOOKUP(B77,'Base perfiles'!$A$3:$O$200,7),IF(C77="ANODIZADO",VLOOKUP(B77,'Base perfiles'!$A$3:$O$200,6)))))</f>
        <v/>
      </c>
      <c r="H77" s="33">
        <f>IF(G77="","",D77*E77/VLOOKUP(B77,'Base perfiles'!$A$3:$O$200,3,)*G77*(1-F77)*1.105)</f>
        <v/>
      </c>
      <c r="N77" s="36" t="n"/>
      <c r="O77" s="29" t="n"/>
      <c r="P77" s="36" t="n"/>
      <c r="Q77" s="37" t="n"/>
      <c r="R77" s="38" t="n">
        <v>0.1</v>
      </c>
      <c r="S77" s="32">
        <f>IF(N77="","",IF(O77="negro",VLOOKUP(N77,'Base perfiles'!$A$3:$O$200,8,),IF(O77="blanco",VLOOKUP(N77,'Base perfiles'!$A$3:$O$200,7),IF(O77="ANODIZADO",VLOOKUP(N77,'Base perfiles'!$A$3:$O$200,6)))))</f>
        <v/>
      </c>
      <c r="T77" s="33">
        <f>IF(S77="","",P77*Q77/VLOOKUP(N77,'Base perfiles'!$A$3:$O$200,3,)*S77*(1-R77)*1.105)</f>
        <v/>
      </c>
    </row>
    <row r="78">
      <c r="B78" s="36" t="n"/>
      <c r="C78" s="29" t="n"/>
      <c r="D78" s="36" t="n"/>
      <c r="E78" s="37" t="n"/>
      <c r="F78" s="38" t="n">
        <v>0.1</v>
      </c>
      <c r="G78" s="32">
        <f>IF(B78="","",IF(C78="negro",VLOOKUP(B78,'Base perfiles'!$A$3:$O$200,8,),IF(C78="blanco",VLOOKUP(B78,'Base perfiles'!$A$3:$O$200,7),IF(C78="ANODIZADO",VLOOKUP(B78,'Base perfiles'!$A$3:$O$200,6)))))</f>
        <v/>
      </c>
      <c r="H78" s="33">
        <f>IF(G78="","",D78*E78/VLOOKUP(B78,'Base perfiles'!$A$3:$O$200,3,)*G78*(1-F78)*1.105)</f>
        <v/>
      </c>
      <c r="N78" s="36" t="n"/>
      <c r="O78" s="29" t="n"/>
      <c r="P78" s="36" t="n"/>
      <c r="Q78" s="37" t="n"/>
      <c r="R78" s="38" t="n">
        <v>0.1</v>
      </c>
      <c r="S78" s="32">
        <f>IF(N78="","",IF(O78="negro",VLOOKUP(N78,'Base perfiles'!$A$3:$O$200,8,),IF(O78="blanco",VLOOKUP(N78,'Base perfiles'!$A$3:$O$200,7),IF(O78="ANODIZADO",VLOOKUP(N78,'Base perfiles'!$A$3:$O$200,6)))))</f>
        <v/>
      </c>
      <c r="T78" s="33">
        <f>IF(S78="","",P78*Q78/VLOOKUP(N78,'Base perfiles'!$A$3:$O$200,3,)*S78*(1-R78)*1.105)</f>
        <v/>
      </c>
    </row>
    <row r="79">
      <c r="B79" s="36" t="n"/>
      <c r="C79" s="29" t="n"/>
      <c r="D79" s="36" t="n"/>
      <c r="E79" s="37" t="n"/>
      <c r="F79" s="38" t="n">
        <v>0.1</v>
      </c>
      <c r="G79" s="32">
        <f>IF(B79="","",IF(C79="negro",VLOOKUP(B79,'Base perfiles'!$A$3:$O$200,8,),IF(C79="blanco",VLOOKUP(B79,'Base perfiles'!$A$3:$O$200,7),IF(C79="ANODIZADO",VLOOKUP(B79,'Base perfiles'!$A$3:$O$200,6)))))</f>
        <v/>
      </c>
      <c r="H79" s="33">
        <f>IF(G79="","",D79*E79/VLOOKUP(B79,'Base perfiles'!$A$3:$O$200,3,)*G79*(1-F79)*1.105)</f>
        <v/>
      </c>
      <c r="N79" s="36" t="n"/>
      <c r="O79" s="29" t="n"/>
      <c r="P79" s="36" t="n"/>
      <c r="Q79" s="37" t="n"/>
      <c r="R79" s="38" t="n">
        <v>0.1</v>
      </c>
      <c r="S79" s="32">
        <f>IF(N79="","",IF(O79="negro",VLOOKUP(N79,'Base perfiles'!$A$3:$O$200,8,),IF(O79="blanco",VLOOKUP(N79,'Base perfiles'!$A$3:$O$200,7),IF(O79="ANODIZADO",VLOOKUP(N79,'Base perfiles'!$A$3:$O$200,6)))))</f>
        <v/>
      </c>
      <c r="T79" s="33">
        <f>IF(S79="","",P79*Q79/VLOOKUP(N79,'Base perfiles'!$A$3:$O$200,3,)*S79*(1-R79)*1.105)</f>
        <v/>
      </c>
    </row>
    <row r="80">
      <c r="B80" s="36" t="n"/>
      <c r="C80" s="29" t="n"/>
      <c r="D80" s="36" t="n"/>
      <c r="E80" s="37" t="n"/>
      <c r="F80" s="38" t="n">
        <v>0.1</v>
      </c>
      <c r="G80" s="32">
        <f>IF(B80="","",IF(C80="negro",VLOOKUP(B80,'Base perfiles'!$A$3:$O$200,8,),IF(C80="blanco",VLOOKUP(B80,'Base perfiles'!$A$3:$O$200,7),IF(C80="ANODIZADO",VLOOKUP(B80,'Base perfiles'!$A$3:$O$200,6)))))</f>
        <v/>
      </c>
      <c r="H80" s="33">
        <f>IF(G80="","",D80*E80/VLOOKUP(B80,'Base perfiles'!$A$3:$O$200,3,)*G80*(1-F80)*1.105)</f>
        <v/>
      </c>
      <c r="N80" s="36" t="n"/>
      <c r="O80" s="29" t="n"/>
      <c r="P80" s="36" t="n"/>
      <c r="Q80" s="37" t="n"/>
      <c r="R80" s="38" t="n">
        <v>0.1</v>
      </c>
      <c r="S80" s="32">
        <f>IF(N80="","",IF(O80="negro",VLOOKUP(N80,'Base perfiles'!$A$3:$O$200,8,),IF(O80="blanco",VLOOKUP(N80,'Base perfiles'!$A$3:$O$200,7),IF(O80="ANODIZADO",VLOOKUP(N80,'Base perfiles'!$A$3:$O$200,6)))))</f>
        <v/>
      </c>
      <c r="T80" s="33">
        <f>IF(S80="","",P80*Q80/VLOOKUP(N80,'Base perfiles'!$A$3:$O$200,3,)*S80*(1-R80)*1.105)</f>
        <v/>
      </c>
    </row>
    <row r="81">
      <c r="B81" s="36" t="n"/>
      <c r="C81" s="29" t="n"/>
      <c r="D81" s="36" t="n"/>
      <c r="E81" s="37" t="n"/>
      <c r="F81" s="38" t="n">
        <v>0.1</v>
      </c>
      <c r="G81" s="32">
        <f>IF(B81="","",IF(C81="negro",VLOOKUP(B81,'Base perfiles'!$A$3:$O$200,8,),IF(C81="blanco",VLOOKUP(B81,'Base perfiles'!$A$3:$O$200,7),IF(C81="ANODIZADO",VLOOKUP(B81,'Base perfiles'!$A$3:$O$200,6)))))</f>
        <v/>
      </c>
      <c r="H81" s="33">
        <f>IF(G81="","",D81*E81/VLOOKUP(B81,'Base perfiles'!$A$3:$O$200,3,)*G81*(1-F81)*1.105)</f>
        <v/>
      </c>
      <c r="N81" s="36" t="n"/>
      <c r="O81" s="29" t="n"/>
      <c r="P81" s="36" t="n"/>
      <c r="Q81" s="37" t="n"/>
      <c r="R81" s="38" t="n">
        <v>0.1</v>
      </c>
      <c r="S81" s="32">
        <f>IF(N81="","",IF(O81="negro",VLOOKUP(N81,'Base perfiles'!$A$3:$O$200,8,),IF(O81="blanco",VLOOKUP(N81,'Base perfiles'!$A$3:$O$200,7),IF(O81="ANODIZADO",VLOOKUP(N81,'Base perfiles'!$A$3:$O$200,6)))))</f>
        <v/>
      </c>
      <c r="T81" s="33">
        <f>IF(S81="","",P81*Q81/VLOOKUP(N81,'Base perfiles'!$A$3:$O$200,3,)*S81*(1-R81)*1.105)</f>
        <v/>
      </c>
    </row>
    <row r="82">
      <c r="B82" s="36" t="n"/>
      <c r="C82" s="29" t="n"/>
      <c r="D82" s="36" t="n"/>
      <c r="E82" s="37" t="n"/>
      <c r="F82" s="38" t="n">
        <v>0.1</v>
      </c>
      <c r="G82" s="32">
        <f>IF(B82="","",IF(C82="negro",VLOOKUP(B82,'Base perfiles'!$A$3:$O$200,8,),IF(C82="blanco",VLOOKUP(B82,'Base perfiles'!$A$3:$O$200,7),IF(C82="ANODIZADO",VLOOKUP(B82,'Base perfiles'!$A$3:$O$200,6)))))</f>
        <v/>
      </c>
      <c r="H82" s="33">
        <f>IF(G82="","",D82*E82/VLOOKUP(B82,'Base perfiles'!$A$3:$O$200,3,)*G82*(1-F82)*1.105)</f>
        <v/>
      </c>
      <c r="N82" s="36" t="n"/>
      <c r="O82" s="29" t="n"/>
      <c r="P82" s="36" t="n"/>
      <c r="Q82" s="37" t="n"/>
      <c r="R82" s="38" t="n">
        <v>0.1</v>
      </c>
      <c r="S82" s="32">
        <f>IF(N82="","",IF(O82="negro",VLOOKUP(N82,'Base perfiles'!$A$3:$O$200,8,),IF(O82="blanco",VLOOKUP(N82,'Base perfiles'!$A$3:$O$200,7),IF(O82="ANODIZADO",VLOOKUP(N82,'Base perfiles'!$A$3:$O$200,6)))))</f>
        <v/>
      </c>
      <c r="T82" s="33">
        <f>IF(S82="","",P82*Q82/VLOOKUP(N82,'Base perfiles'!$A$3:$O$200,3,)*S82*(1-R82)*1.105)</f>
        <v/>
      </c>
    </row>
    <row r="83">
      <c r="B83" s="36" t="n"/>
      <c r="C83" s="29" t="n"/>
      <c r="D83" s="36" t="n"/>
      <c r="E83" s="37" t="n"/>
      <c r="F83" s="38" t="n">
        <v>0.1</v>
      </c>
      <c r="G83" s="32">
        <f>IF(B83="","",IF(C83="negro",VLOOKUP(B83,'Base perfiles'!$A$3:$O$200,8,),IF(C83="blanco",VLOOKUP(B83,'Base perfiles'!$A$3:$O$200,7),IF(C83="ANODIZADO",VLOOKUP(B83,'Base perfiles'!$A$3:$O$200,6)))))</f>
        <v/>
      </c>
      <c r="H83" s="33">
        <f>IF(G83="","",D83*E83/VLOOKUP(B83,'Base perfiles'!$A$3:$O$200,3,)*G83*(1-F83)*1.105)</f>
        <v/>
      </c>
      <c r="N83" s="36" t="n"/>
      <c r="O83" s="29" t="n"/>
      <c r="P83" s="36" t="n"/>
      <c r="Q83" s="37" t="n"/>
      <c r="R83" s="38" t="n">
        <v>0.1</v>
      </c>
      <c r="S83" s="32">
        <f>IF(N83="","",IF(O83="negro",VLOOKUP(N83,'Base perfiles'!$A$3:$O$200,8,),IF(O83="blanco",VLOOKUP(N83,'Base perfiles'!$A$3:$O$200,7),IF(O83="ANODIZADO",VLOOKUP(N83,'Base perfiles'!$A$3:$O$200,6)))))</f>
        <v/>
      </c>
      <c r="T83" s="33">
        <f>IF(S83="","",P83*Q83/VLOOKUP(N83,'Base perfiles'!$A$3:$O$200,3,)*S83*(1-R83)*1.105)</f>
        <v/>
      </c>
    </row>
    <row r="84">
      <c r="B84" s="36" t="n"/>
      <c r="C84" s="29" t="n"/>
      <c r="D84" s="36" t="n"/>
      <c r="E84" s="37" t="n"/>
      <c r="F84" s="38" t="n">
        <v>0.1</v>
      </c>
      <c r="G84" s="32">
        <f>IF(B84="","",IF(C84="negro",VLOOKUP(B84,'Base perfiles'!$A$3:$O$200,8,),IF(C84="blanco",VLOOKUP(B84,'Base perfiles'!$A$3:$O$200,7),IF(C84="ANODIZADO",VLOOKUP(B84,'Base perfiles'!$A$3:$O$200,6)))))</f>
        <v/>
      </c>
      <c r="H84" s="33">
        <f>IF(G84="","",D84*E84/VLOOKUP(B84,'Base perfiles'!$A$3:$O$200,3,)*G84*(1-F84)*1.105)</f>
        <v/>
      </c>
      <c r="N84" s="36" t="n"/>
      <c r="O84" s="29" t="n"/>
      <c r="P84" s="36" t="n"/>
      <c r="Q84" s="37" t="n"/>
      <c r="R84" s="38" t="n">
        <v>0.1</v>
      </c>
      <c r="S84" s="32">
        <f>IF(N84="","",IF(O84="negro",VLOOKUP(N84,'Base perfiles'!$A$3:$O$200,8,),IF(O84="blanco",VLOOKUP(N84,'Base perfiles'!$A$3:$O$200,7),IF(O84="ANODIZADO",VLOOKUP(N84,'Base perfiles'!$A$3:$O$200,6)))))</f>
        <v/>
      </c>
      <c r="T84" s="33">
        <f>IF(S84="","",P84*Q84/VLOOKUP(N84,'Base perfiles'!$A$3:$O$200,3,)*S84*(1-R84)*1.105)</f>
        <v/>
      </c>
    </row>
    <row r="85">
      <c r="B85" s="36" t="n"/>
      <c r="C85" s="29" t="n"/>
      <c r="D85" s="36" t="n"/>
      <c r="E85" s="37" t="n"/>
      <c r="F85" s="38" t="n">
        <v>0.1</v>
      </c>
      <c r="G85" s="32">
        <f>IF(B85="","",IF(C85="negro",VLOOKUP(B85,'Base perfiles'!$A$3:$O$200,8,),IF(C85="blanco",VLOOKUP(B85,'Base perfiles'!$A$3:$O$200,7),IF(C85="ANODIZADO",VLOOKUP(B85,'Base perfiles'!$A$3:$O$200,6)))))</f>
        <v/>
      </c>
      <c r="H85" s="33">
        <f>IF(G85="","",D85*E85/VLOOKUP(B85,'Base perfiles'!$A$3:$O$200,3,)*G85*(1-F85)*1.105)</f>
        <v/>
      </c>
      <c r="N85" s="36" t="n"/>
      <c r="O85" s="29" t="n"/>
      <c r="P85" s="36" t="n"/>
      <c r="Q85" s="37" t="n"/>
      <c r="R85" s="38" t="n">
        <v>0.1</v>
      </c>
      <c r="S85" s="32">
        <f>IF(N85="","",IF(O85="negro",VLOOKUP(N85,'Base perfiles'!$A$3:$O$200,8,),IF(O85="blanco",VLOOKUP(N85,'Base perfiles'!$A$3:$O$200,7),IF(O85="ANODIZADO",VLOOKUP(N85,'Base perfiles'!$A$3:$O$200,6)))))</f>
        <v/>
      </c>
      <c r="T85" s="33">
        <f>IF(S85="","",P85*Q85/VLOOKUP(N85,'Base perfiles'!$A$3:$O$200,3,)*S85*(1-R85)*1.105)</f>
        <v/>
      </c>
    </row>
    <row r="86">
      <c r="B86" s="36" t="n"/>
      <c r="C86" s="29" t="n"/>
      <c r="D86" s="36" t="n"/>
      <c r="E86" s="37" t="n"/>
      <c r="F86" s="38" t="n">
        <v>0.1</v>
      </c>
      <c r="G86" s="32">
        <f>IF(B86="","",IF(C86="negro",VLOOKUP(B86,'Base perfiles'!$A$3:$O$200,8,),IF(C86="blanco",VLOOKUP(B86,'Base perfiles'!$A$3:$O$200,7),IF(C86="ANODIZADO",VLOOKUP(B86,'Base perfiles'!$A$3:$O$200,6)))))</f>
        <v/>
      </c>
      <c r="H86" s="33">
        <f>IF(G86="","",D86*E86/VLOOKUP(B86,'Base perfiles'!$A$3:$O$200,3,)*G86*(1-F86)*1.105)</f>
        <v/>
      </c>
      <c r="N86" s="36" t="n"/>
      <c r="O86" s="29" t="n"/>
      <c r="P86" s="36" t="n"/>
      <c r="Q86" s="37" t="n"/>
      <c r="R86" s="38" t="n">
        <v>0.1</v>
      </c>
      <c r="S86" s="32">
        <f>IF(N86="","",IF(O86="negro",VLOOKUP(N86,'Base perfiles'!$A$3:$O$200,8,),IF(O86="blanco",VLOOKUP(N86,'Base perfiles'!$A$3:$O$200,7),IF(O86="ANODIZADO",VLOOKUP(N86,'Base perfiles'!$A$3:$O$200,6)))))</f>
        <v/>
      </c>
      <c r="T86" s="33">
        <f>IF(S86="","",P86*Q86/VLOOKUP(N86,'Base perfiles'!$A$3:$O$200,3,)*S86*(1-R86)*1.105)</f>
        <v/>
      </c>
    </row>
    <row r="87">
      <c r="B87" s="36" t="n"/>
      <c r="C87" s="29" t="n"/>
      <c r="D87" s="36" t="n"/>
      <c r="E87" s="37" t="n"/>
      <c r="F87" s="38" t="n">
        <v>0.1</v>
      </c>
      <c r="G87" s="32">
        <f>IF(B87="","",IF(C87="negro",VLOOKUP(B87,'Base perfiles'!$A$3:$O$200,8,),IF(C87="blanco",VLOOKUP(B87,'Base perfiles'!$A$3:$O$200,7),IF(C87="ANODIZADO",VLOOKUP(B87,'Base perfiles'!$A$3:$O$200,6)))))</f>
        <v/>
      </c>
      <c r="H87" s="33">
        <f>IF(G87="","",D87*E87/VLOOKUP(B87,'Base perfiles'!$A$3:$O$200,3,)*G87*(1-F87)*1.105)</f>
        <v/>
      </c>
      <c r="N87" s="36" t="n"/>
      <c r="O87" s="29" t="n"/>
      <c r="P87" s="36" t="n"/>
      <c r="Q87" s="37" t="n"/>
      <c r="R87" s="38" t="n">
        <v>0.1</v>
      </c>
      <c r="S87" s="32">
        <f>IF(N87="","",IF(O87="negro",VLOOKUP(N87,'Base perfiles'!$A$3:$O$200,8,),IF(O87="blanco",VLOOKUP(N87,'Base perfiles'!$A$3:$O$200,7),IF(O87="ANODIZADO",VLOOKUP(N87,'Base perfiles'!$A$3:$O$200,6)))))</f>
        <v/>
      </c>
      <c r="T87" s="33">
        <f>IF(S87="","",P87*Q87/VLOOKUP(N87,'Base perfiles'!$A$3:$O$200,3,)*S87*(1-R87)*1.105)</f>
        <v/>
      </c>
    </row>
    <row r="88">
      <c r="B88" s="36" t="n"/>
      <c r="C88" s="29" t="n"/>
      <c r="D88" s="36" t="n"/>
      <c r="E88" s="37" t="n"/>
      <c r="F88" s="38" t="n">
        <v>0.1</v>
      </c>
      <c r="G88" s="32">
        <f>IF(B88="","",IF(C88="negro",VLOOKUP(B88,'Base perfiles'!$A$3:$O$200,8,),IF(C88="blanco",VLOOKUP(B88,'Base perfiles'!$A$3:$O$200,7),IF(C88="ANODIZADO",VLOOKUP(B88,'Base perfiles'!$A$3:$O$200,6)))))</f>
        <v/>
      </c>
      <c r="H88" s="33">
        <f>IF(G88="","",D88*E88/VLOOKUP(B88,'Base perfiles'!$A$3:$O$200,3,)*G88*(1-F88)*1.105)</f>
        <v/>
      </c>
      <c r="N88" s="36" t="n"/>
      <c r="O88" s="29" t="n"/>
      <c r="P88" s="36" t="n"/>
      <c r="Q88" s="37" t="n"/>
      <c r="R88" s="38" t="n">
        <v>0.1</v>
      </c>
      <c r="S88" s="32">
        <f>IF(N88="","",IF(O88="negro",VLOOKUP(N88,'Base perfiles'!$A$3:$O$200,8,),IF(O88="blanco",VLOOKUP(N88,'Base perfiles'!$A$3:$O$200,7),IF(O88="ANODIZADO",VLOOKUP(N88,'Base perfiles'!$A$3:$O$200,6)))))</f>
        <v/>
      </c>
      <c r="T88" s="33">
        <f>IF(S88="","",P88*Q88/VLOOKUP(N88,'Base perfiles'!$A$3:$O$200,3,)*S88*(1-R88)*1.105)</f>
        <v/>
      </c>
    </row>
    <row r="89">
      <c r="B89" s="36" t="n"/>
      <c r="C89" s="29" t="n"/>
      <c r="D89" s="36" t="n"/>
      <c r="E89" s="37" t="n"/>
      <c r="F89" s="38" t="n">
        <v>0.1</v>
      </c>
      <c r="G89" s="32">
        <f>IF(B89="","",IF(C89="negro",VLOOKUP(B89,'Base perfiles'!$A$3:$O$200,8,),IF(C89="blanco",VLOOKUP(B89,'Base perfiles'!$A$3:$O$200,7),IF(C89="ANODIZADO",VLOOKUP(B89,'Base perfiles'!$A$3:$O$200,6)))))</f>
        <v/>
      </c>
      <c r="H89" s="33">
        <f>IF(G89="","",D89*E89/VLOOKUP(B89,'Base perfiles'!$A$3:$O$200,3,)*G89*(1-F89)*1.105)</f>
        <v/>
      </c>
      <c r="N89" s="36" t="n"/>
      <c r="O89" s="29" t="n"/>
      <c r="P89" s="36" t="n"/>
      <c r="Q89" s="37" t="n"/>
      <c r="R89" s="38" t="n">
        <v>0.1</v>
      </c>
      <c r="S89" s="32">
        <f>IF(N89="","",IF(O89="negro",VLOOKUP(N89,'Base perfiles'!$A$3:$O$200,8,),IF(O89="blanco",VLOOKUP(N89,'Base perfiles'!$A$3:$O$200,7),IF(O89="ANODIZADO",VLOOKUP(N89,'Base perfiles'!$A$3:$O$200,6)))))</f>
        <v/>
      </c>
      <c r="T89" s="33">
        <f>IF(S89="","",P89*Q89/VLOOKUP(N89,'Base perfiles'!$A$3:$O$200,3,)*S89*(1-R89)*1.105)</f>
        <v/>
      </c>
    </row>
    <row r="90">
      <c r="B90" s="36" t="n"/>
      <c r="C90" s="29" t="n"/>
      <c r="D90" s="36" t="n"/>
      <c r="E90" s="37" t="n"/>
      <c r="F90" s="38" t="n">
        <v>0.1</v>
      </c>
      <c r="G90" s="32">
        <f>IF(B90="","",IF(C90="negro",VLOOKUP(B90,'Base perfiles'!$A$3:$O$200,8,),IF(C90="blanco",VLOOKUP(B90,'Base perfiles'!$A$3:$O$200,7),IF(C90="ANODIZADO",VLOOKUP(B90,'Base perfiles'!$A$3:$O$200,6)))))</f>
        <v/>
      </c>
      <c r="H90" s="33">
        <f>IF(G90="","",D90*E90/VLOOKUP(B90,'Base perfiles'!$A$3:$O$200,3,)*G90*(1-F90)*1.105)</f>
        <v/>
      </c>
      <c r="N90" s="36" t="n"/>
      <c r="O90" s="29" t="n"/>
      <c r="P90" s="36" t="n"/>
      <c r="Q90" s="37" t="n"/>
      <c r="R90" s="38" t="n">
        <v>0.1</v>
      </c>
      <c r="S90" s="32">
        <f>IF(N90="","",IF(O90="negro",VLOOKUP(N90,'Base perfiles'!$A$3:$O$200,8,),IF(O90="blanco",VLOOKUP(N90,'Base perfiles'!$A$3:$O$200,7),IF(O90="ANODIZADO",VLOOKUP(N90,'Base perfiles'!$A$3:$O$200,6)))))</f>
        <v/>
      </c>
      <c r="T90" s="33">
        <f>IF(S90="","",P90*Q90/VLOOKUP(N90,'Base perfiles'!$A$3:$O$200,3,)*S90*(1-R90)*1.105)</f>
        <v/>
      </c>
    </row>
    <row r="91">
      <c r="B91" s="36" t="n"/>
      <c r="C91" s="29" t="n"/>
      <c r="D91" s="36" t="n"/>
      <c r="E91" s="37" t="n"/>
      <c r="F91" s="38" t="n">
        <v>0.1</v>
      </c>
      <c r="G91" s="32">
        <f>IF(B91="","",IF(C91="negro",VLOOKUP(B91,'Base perfiles'!$A$3:$O$200,8,),IF(C91="blanco",VLOOKUP(B91,'Base perfiles'!$A$3:$O$200,7),IF(C91="ANODIZADO",VLOOKUP(B91,'Base perfiles'!$A$3:$O$200,6)))))</f>
        <v/>
      </c>
      <c r="H91" s="33">
        <f>IF(G91="","",D91*E91/VLOOKUP(B91,'Base perfiles'!$A$3:$O$200,3,)*G91*(1-F91)*1.105)</f>
        <v/>
      </c>
      <c r="N91" s="36" t="n"/>
      <c r="O91" s="29" t="n"/>
      <c r="P91" s="36" t="n"/>
      <c r="Q91" s="37" t="n"/>
      <c r="R91" s="38" t="n">
        <v>0.1</v>
      </c>
      <c r="S91" s="32">
        <f>IF(N91="","",IF(O91="negro",VLOOKUP(N91,'Base perfiles'!$A$3:$O$200,8,),IF(O91="blanco",VLOOKUP(N91,'Base perfiles'!$A$3:$O$200,7),IF(O91="ANODIZADO",VLOOKUP(N91,'Base perfiles'!$A$3:$O$200,6)))))</f>
        <v/>
      </c>
      <c r="T91" s="33">
        <f>IF(S91="","",P91*Q91/VLOOKUP(N91,'Base perfiles'!$A$3:$O$200,3,)*S91*(1-R91)*1.105)</f>
        <v/>
      </c>
    </row>
    <row r="92">
      <c r="B92" s="36" t="n"/>
      <c r="C92" s="29" t="n"/>
      <c r="D92" s="36" t="n"/>
      <c r="E92" s="37" t="n"/>
      <c r="F92" s="38" t="n">
        <v>0.1</v>
      </c>
      <c r="G92" s="32">
        <f>IF(B92="","",IF(C92="negro",VLOOKUP(B92,'Base perfiles'!$A$3:$O$200,8,),IF(C92="blanco",VLOOKUP(B92,'Base perfiles'!$A$3:$O$200,7),IF(C92="ANODIZADO",VLOOKUP(B92,'Base perfiles'!$A$3:$O$200,6)))))</f>
        <v/>
      </c>
      <c r="H92" s="33">
        <f>IF(G92="","",D92*E92/VLOOKUP(B92,'Base perfiles'!$A$3:$O$200,3,)*G92*(1-F92)*1.105)</f>
        <v/>
      </c>
      <c r="N92" s="36" t="n"/>
      <c r="O92" s="29" t="n"/>
      <c r="P92" s="36" t="n"/>
      <c r="Q92" s="37" t="n"/>
      <c r="R92" s="38" t="n">
        <v>0.1</v>
      </c>
      <c r="S92" s="32">
        <f>IF(N92="","",IF(O92="negro",VLOOKUP(N92,'Base perfiles'!$A$3:$O$200,8,),IF(O92="blanco",VLOOKUP(N92,'Base perfiles'!$A$3:$O$200,7),IF(O92="ANODIZADO",VLOOKUP(N92,'Base perfiles'!$A$3:$O$200,6)))))</f>
        <v/>
      </c>
      <c r="T92" s="33">
        <f>IF(S92="","",P92*Q92/VLOOKUP(N92,'Base perfiles'!$A$3:$O$200,3,)*S92*(1-R92)*1.105)</f>
        <v/>
      </c>
    </row>
    <row r="93">
      <c r="B93" s="36" t="n"/>
      <c r="C93" s="29" t="n"/>
      <c r="D93" s="36" t="n"/>
      <c r="E93" s="37" t="n"/>
      <c r="F93" s="38" t="n">
        <v>0.1</v>
      </c>
      <c r="G93" s="32">
        <f>IF(B93="","",IF(C93="negro",VLOOKUP(B93,'Base perfiles'!$A$3:$O$200,8,),IF(C93="blanco",VLOOKUP(B93,'Base perfiles'!$A$3:$O$200,7),IF(C93="ANODIZADO",VLOOKUP(B93,'Base perfiles'!$A$3:$O$200,6)))))</f>
        <v/>
      </c>
      <c r="H93" s="33">
        <f>IF(G93="","",D93*E93/VLOOKUP(B93,'Base perfiles'!$A$3:$O$200,3,)*G93*(1-F93)*1.105)</f>
        <v/>
      </c>
      <c r="N93" s="36" t="n"/>
      <c r="O93" s="29" t="n"/>
      <c r="P93" s="36" t="n"/>
      <c r="Q93" s="37" t="n"/>
      <c r="R93" s="38" t="n">
        <v>0.1</v>
      </c>
      <c r="S93" s="32">
        <f>IF(N93="","",IF(O93="negro",VLOOKUP(N93,'Base perfiles'!$A$3:$O$200,8,),IF(O93="blanco",VLOOKUP(N93,'Base perfiles'!$A$3:$O$200,7),IF(O93="ANODIZADO",VLOOKUP(N93,'Base perfiles'!$A$3:$O$200,6)))))</f>
        <v/>
      </c>
      <c r="T93" s="33">
        <f>IF(S93="","",P93*Q93/VLOOKUP(N93,'Base perfiles'!$A$3:$O$200,3,)*S93*(1-R93)*1.105)</f>
        <v/>
      </c>
    </row>
    <row r="94">
      <c r="B94" s="36" t="n"/>
      <c r="C94" s="29" t="n"/>
      <c r="D94" s="36" t="n"/>
      <c r="E94" s="37" t="n"/>
      <c r="F94" s="38" t="n">
        <v>0.1</v>
      </c>
      <c r="G94" s="32">
        <f>IF(B94="","",IF(C94="negro",VLOOKUP(B94,'Base perfiles'!$A$3:$O$200,8,),IF(C94="blanco",VLOOKUP(B94,'Base perfiles'!$A$3:$O$200,7),IF(C94="ANODIZADO",VLOOKUP(B94,'Base perfiles'!$A$3:$O$200,6)))))</f>
        <v/>
      </c>
      <c r="H94" s="33">
        <f>IF(G94="","",D94*E94/VLOOKUP(B94,'Base perfiles'!$A$3:$O$200,3,)*G94*(1-F94)*1.105)</f>
        <v/>
      </c>
      <c r="N94" s="36" t="n"/>
      <c r="O94" s="29" t="n"/>
      <c r="P94" s="36" t="n"/>
      <c r="Q94" s="37" t="n"/>
      <c r="R94" s="38" t="n">
        <v>0.1</v>
      </c>
      <c r="S94" s="32">
        <f>IF(N94="","",IF(O94="negro",VLOOKUP(N94,'Base perfiles'!$A$3:$O$200,8,),IF(O94="blanco",VLOOKUP(N94,'Base perfiles'!$A$3:$O$200,7),IF(O94="ANODIZADO",VLOOKUP(N94,'Base perfiles'!$A$3:$O$200,6)))))</f>
        <v/>
      </c>
      <c r="T94" s="33">
        <f>IF(S94="","",P94*Q94/VLOOKUP(N94,'Base perfiles'!$A$3:$O$200,3,)*S94*(1-R94)*1.105)</f>
        <v/>
      </c>
    </row>
    <row r="95">
      <c r="B95" s="36" t="n"/>
      <c r="C95" s="29" t="n"/>
      <c r="D95" s="36" t="n"/>
      <c r="E95" s="37" t="n"/>
      <c r="F95" s="38" t="n">
        <v>0.1</v>
      </c>
      <c r="G95" s="32">
        <f>IF(B95="","",IF(C95="negro",VLOOKUP(B95,'Base perfiles'!$A$3:$O$200,8,),IF(C95="blanco",VLOOKUP(B95,'Base perfiles'!$A$3:$O$200,7),IF(C95="ANODIZADO",VLOOKUP(B95,'Base perfiles'!$A$3:$O$200,6)))))</f>
        <v/>
      </c>
      <c r="H95" s="33">
        <f>IF(G95="","",D95*E95/VLOOKUP(B95,'Base perfiles'!$A$3:$O$200,3,)*G95*(1-F95)*1.105)</f>
        <v/>
      </c>
      <c r="N95" s="36" t="n"/>
      <c r="O95" s="29" t="n"/>
      <c r="P95" s="36" t="n"/>
      <c r="Q95" s="37" t="n"/>
      <c r="R95" s="38" t="n">
        <v>0.1</v>
      </c>
      <c r="S95" s="32">
        <f>IF(N95="","",IF(O95="negro",VLOOKUP(N95,'Base perfiles'!$A$3:$O$200,8,),IF(O95="blanco",VLOOKUP(N95,'Base perfiles'!$A$3:$O$200,7),IF(O95="ANODIZADO",VLOOKUP(N95,'Base perfiles'!$A$3:$O$200,6)))))</f>
        <v/>
      </c>
      <c r="T95" s="33">
        <f>IF(S95="","",P95*Q95/VLOOKUP(N95,'Base perfiles'!$A$3:$O$200,3,)*S95*(1-R95)*1.105)</f>
        <v/>
      </c>
    </row>
    <row r="96">
      <c r="B96" s="36" t="n"/>
      <c r="C96" s="29" t="n"/>
      <c r="D96" s="36" t="n"/>
      <c r="E96" s="37" t="n"/>
      <c r="F96" s="38" t="n">
        <v>0.1</v>
      </c>
      <c r="G96" s="32">
        <f>IF(B96="","",IF(C96="negro",VLOOKUP(B96,'Base perfiles'!$A$3:$O$200,8,),IF(C96="blanco",VLOOKUP(B96,'Base perfiles'!$A$3:$O$200,7),IF(C96="ANODIZADO",VLOOKUP(B96,'Base perfiles'!$A$3:$O$200,6)))))</f>
        <v/>
      </c>
      <c r="H96" s="33">
        <f>IF(G96="","",D96*E96/VLOOKUP(B96,'Base perfiles'!$A$3:$O$200,3,)*G96*(1-F96)*1.105)</f>
        <v/>
      </c>
      <c r="N96" s="36" t="n"/>
      <c r="O96" s="29" t="n"/>
      <c r="P96" s="36" t="n"/>
      <c r="Q96" s="37" t="n"/>
      <c r="R96" s="38" t="n">
        <v>0.1</v>
      </c>
      <c r="S96" s="32">
        <f>IF(N96="","",IF(O96="negro",VLOOKUP(N96,'Base perfiles'!$A$3:$O$200,8,),IF(O96="blanco",VLOOKUP(N96,'Base perfiles'!$A$3:$O$200,7),IF(O96="ANODIZADO",VLOOKUP(N96,'Base perfiles'!$A$3:$O$200,6)))))</f>
        <v/>
      </c>
      <c r="T96" s="33">
        <f>IF(S96="","",P96*Q96/VLOOKUP(N96,'Base perfiles'!$A$3:$O$200,3,)*S96*(1-R96)*1.105)</f>
        <v/>
      </c>
    </row>
    <row r="97">
      <c r="B97" s="36" t="n"/>
      <c r="C97" s="29" t="n"/>
      <c r="D97" s="36" t="n"/>
      <c r="E97" s="37" t="n"/>
      <c r="F97" s="38" t="n">
        <v>0.1</v>
      </c>
      <c r="G97" s="32">
        <f>IF(B97="","",IF(C97="negro",VLOOKUP(B97,'Base perfiles'!$A$3:$O$200,8,),IF(C97="blanco",VLOOKUP(B97,'Base perfiles'!$A$3:$O$200,7),IF(C97="ANODIZADO",VLOOKUP(B97,'Base perfiles'!$A$3:$O$200,6)))))</f>
        <v/>
      </c>
      <c r="H97" s="33">
        <f>IF(G97="","",D97*E97/VLOOKUP(B97,'Base perfiles'!$A$3:$O$200,3,)*G97*(1-F97)*1.105)</f>
        <v/>
      </c>
      <c r="N97" s="36" t="n"/>
      <c r="O97" s="29" t="n"/>
      <c r="P97" s="36" t="n"/>
      <c r="Q97" s="37" t="n"/>
      <c r="R97" s="38" t="n">
        <v>0.1</v>
      </c>
      <c r="S97" s="32">
        <f>IF(N97="","",IF(O97="negro",VLOOKUP(N97,'Base perfiles'!$A$3:$O$200,8,),IF(O97="blanco",VLOOKUP(N97,'Base perfiles'!$A$3:$O$200,7),IF(O97="ANODIZADO",VLOOKUP(N97,'Base perfiles'!$A$3:$O$200,6)))))</f>
        <v/>
      </c>
      <c r="T97" s="33">
        <f>IF(S97="","",P97*Q97/VLOOKUP(N97,'Base perfiles'!$A$3:$O$200,3,)*S97*(1-R97)*1.105)</f>
        <v/>
      </c>
    </row>
    <row r="98">
      <c r="B98" s="36" t="n"/>
      <c r="C98" s="29" t="n"/>
      <c r="D98" s="36" t="n"/>
      <c r="E98" s="37" t="n"/>
      <c r="F98" s="38" t="n">
        <v>0.1</v>
      </c>
      <c r="G98" s="32">
        <f>IF(B98="","",IF(C98="negro",VLOOKUP(B98,'Base perfiles'!$A$3:$O$200,8,),IF(C98="blanco",VLOOKUP(B98,'Base perfiles'!$A$3:$O$200,7),IF(C98="ANODIZADO",VLOOKUP(B98,'Base perfiles'!$A$3:$O$200,6)))))</f>
        <v/>
      </c>
      <c r="H98" s="33">
        <f>IF(G98="","",D98*E98/VLOOKUP(B98,'Base perfiles'!$A$3:$O$200,3,)*G98*(1-F98)*1.105)</f>
        <v/>
      </c>
      <c r="N98" s="36" t="n"/>
      <c r="O98" s="29" t="n"/>
      <c r="P98" s="36" t="n"/>
      <c r="Q98" s="37" t="n"/>
      <c r="R98" s="38" t="n">
        <v>0.1</v>
      </c>
      <c r="S98" s="32">
        <f>IF(N98="","",IF(O98="negro",VLOOKUP(N98,'Base perfiles'!$A$3:$O$200,8,),IF(O98="blanco",VLOOKUP(N98,'Base perfiles'!$A$3:$O$200,7),IF(O98="ANODIZADO",VLOOKUP(N98,'Base perfiles'!$A$3:$O$200,6)))))</f>
        <v/>
      </c>
      <c r="T98" s="33">
        <f>IF(S98="","",P98*Q98/VLOOKUP(N98,'Base perfiles'!$A$3:$O$200,3,)*S98*(1-R98)*1.105)</f>
        <v/>
      </c>
    </row>
    <row r="99">
      <c r="B99" s="36" t="n"/>
      <c r="C99" s="29" t="n"/>
      <c r="D99" s="36" t="n"/>
      <c r="E99" s="37" t="n"/>
      <c r="F99" s="38" t="n">
        <v>0.1</v>
      </c>
      <c r="G99" s="32">
        <f>IF(B99="","",IF(C99="negro",VLOOKUP(B99,'Base perfiles'!$A$3:$O$200,8,),IF(C99="blanco",VLOOKUP(B99,'Base perfiles'!$A$3:$O$200,7),IF(C99="ANODIZADO",VLOOKUP(B99,'Base perfiles'!$A$3:$O$200,6)))))</f>
        <v/>
      </c>
      <c r="H99" s="33">
        <f>IF(G99="","",D99*E99/VLOOKUP(B99,'Base perfiles'!$A$3:$O$200,3,)*G99*(1-F99)*1.105)</f>
        <v/>
      </c>
      <c r="N99" s="36" t="n"/>
      <c r="O99" s="29" t="n"/>
      <c r="P99" s="36" t="n"/>
      <c r="Q99" s="37" t="n"/>
      <c r="R99" s="38" t="n">
        <v>0.1</v>
      </c>
      <c r="S99" s="32">
        <f>IF(N99="","",IF(O99="negro",VLOOKUP(N99,'Base perfiles'!$A$3:$O$200,8,),IF(O99="blanco",VLOOKUP(N99,'Base perfiles'!$A$3:$O$200,7),IF(O99="ANODIZADO",VLOOKUP(N99,'Base perfiles'!$A$3:$O$200,6)))))</f>
        <v/>
      </c>
      <c r="T99" s="33">
        <f>IF(S99="","",P99*Q99/VLOOKUP(N99,'Base perfiles'!$A$3:$O$200,3,)*S99*(1-R99)*1.105)</f>
        <v/>
      </c>
    </row>
    <row r="100">
      <c r="B100" s="36" t="n"/>
      <c r="C100" s="29" t="n"/>
      <c r="D100" s="36" t="n"/>
      <c r="E100" s="37" t="n"/>
      <c r="F100" s="38" t="n">
        <v>0.1</v>
      </c>
      <c r="G100" s="32">
        <f>IF(B100="","",IF(C100="negro",VLOOKUP(B100,'Base perfiles'!$A$3:$O$200,8,),IF(C100="blanco",VLOOKUP(B100,'Base perfiles'!$A$3:$O$200,7),IF(C100="ANODIZADO",VLOOKUP(B100,'Base perfiles'!$A$3:$O$200,6)))))</f>
        <v/>
      </c>
      <c r="H100" s="33">
        <f>IF(G100="","",D100*E100/VLOOKUP(B100,'Base perfiles'!$A$3:$O$200,3,)*G100*(1-F100)*1.105)</f>
        <v/>
      </c>
      <c r="N100" s="36" t="n"/>
      <c r="O100" s="29" t="n"/>
      <c r="P100" s="36" t="n"/>
      <c r="Q100" s="37" t="n"/>
      <c r="R100" s="38" t="n">
        <v>0.1</v>
      </c>
      <c r="S100" s="32">
        <f>IF(N100="","",IF(O100="negro",VLOOKUP(N100,'Base perfiles'!$A$3:$O$200,8,),IF(O100="blanco",VLOOKUP(N100,'Base perfiles'!$A$3:$O$200,7),IF(O100="ANODIZADO",VLOOKUP(N100,'Base perfiles'!$A$3:$O$200,6)))))</f>
        <v/>
      </c>
      <c r="T100" s="33">
        <f>IF(S100="","",P100*Q100/VLOOKUP(N100,'Base perfiles'!$A$3:$O$200,3,)*S100*(1-R100)*1.105)</f>
        <v/>
      </c>
    </row>
    <row r="101">
      <c r="B101" s="36" t="n"/>
      <c r="C101" s="29" t="n"/>
      <c r="D101" s="36" t="n"/>
      <c r="E101" s="37" t="n"/>
      <c r="F101" s="38" t="n">
        <v>0.1</v>
      </c>
      <c r="G101" s="32">
        <f>IF(B101="","",IF(C101="negro",VLOOKUP(B101,'Base perfiles'!$A$3:$O$200,8,),IF(C101="blanco",VLOOKUP(B101,'Base perfiles'!$A$3:$O$200,7),IF(C101="ANODIZADO",VLOOKUP(B101,'Base perfiles'!$A$3:$O$200,6)))))</f>
        <v/>
      </c>
      <c r="H101" s="33">
        <f>IF(G101="","",D101*E101/VLOOKUP(B101,'Base perfiles'!$A$3:$O$200,3,)*G101*(1-F101)*1.105)</f>
        <v/>
      </c>
      <c r="N101" s="36" t="n"/>
      <c r="O101" s="29" t="n"/>
      <c r="P101" s="36" t="n"/>
      <c r="Q101" s="37" t="n"/>
      <c r="R101" s="38" t="n">
        <v>0.1</v>
      </c>
      <c r="S101" s="32">
        <f>IF(N101="","",IF(O101="negro",VLOOKUP(N101,'Base perfiles'!$A$3:$O$200,8,),IF(O101="blanco",VLOOKUP(N101,'Base perfiles'!$A$3:$O$200,7),IF(O101="ANODIZADO",VLOOKUP(N101,'Base perfiles'!$A$3:$O$200,6)))))</f>
        <v/>
      </c>
      <c r="T101" s="33">
        <f>IF(S101="","",P101*Q101/VLOOKUP(N101,'Base perfiles'!$A$3:$O$200,3,)*S101*(1-R101)*1.105)</f>
        <v/>
      </c>
    </row>
    <row r="102">
      <c r="B102" s="36" t="n"/>
      <c r="C102" s="29" t="n"/>
      <c r="D102" s="36" t="n"/>
      <c r="E102" s="37" t="n"/>
      <c r="F102" s="38" t="n">
        <v>0.1</v>
      </c>
      <c r="G102" s="32">
        <f>IF(B102="","",IF(C102="negro",VLOOKUP(B102,'Base perfiles'!$A$3:$O$200,8,),IF(C102="blanco",VLOOKUP(B102,'Base perfiles'!$A$3:$O$200,7),IF(C102="ANODIZADO",VLOOKUP(B102,'Base perfiles'!$A$3:$O$200,6)))))</f>
        <v/>
      </c>
      <c r="H102" s="33">
        <f>IF(G102="","",D102*E102/VLOOKUP(B102,'Base perfiles'!$A$3:$O$200,3,)*G102*(1-F102)*1.105)</f>
        <v/>
      </c>
      <c r="N102" s="36" t="n"/>
      <c r="O102" s="29" t="n"/>
      <c r="P102" s="36" t="n"/>
      <c r="Q102" s="37" t="n"/>
      <c r="R102" s="38" t="n">
        <v>0.1</v>
      </c>
      <c r="S102" s="32">
        <f>IF(N102="","",IF(O102="negro",VLOOKUP(N102,'Base perfiles'!$A$3:$O$200,8,),IF(O102="blanco",VLOOKUP(N102,'Base perfiles'!$A$3:$O$200,7),IF(O102="ANODIZADO",VLOOKUP(N102,'Base perfiles'!$A$3:$O$200,6)))))</f>
        <v/>
      </c>
      <c r="T102" s="33">
        <f>IF(S102="","",P102*Q102/VLOOKUP(N102,'Base perfiles'!$A$3:$O$200,3,)*S102*(1-R102)*1.105)</f>
        <v/>
      </c>
    </row>
    <row r="103">
      <c r="B103" s="36" t="n"/>
      <c r="C103" s="29" t="n"/>
      <c r="D103" s="36" t="n"/>
      <c r="E103" s="37" t="n"/>
      <c r="F103" s="38" t="n">
        <v>0.1</v>
      </c>
      <c r="G103" s="32">
        <f>IF(B103="","",IF(C103="negro",VLOOKUP(B103,'Base perfiles'!$A$3:$O$200,8,),IF(C103="blanco",VLOOKUP(B103,'Base perfiles'!$A$3:$O$200,7),IF(C103="ANODIZADO",VLOOKUP(B103,'Base perfiles'!$A$3:$O$200,6)))))</f>
        <v/>
      </c>
      <c r="H103" s="33">
        <f>IF(G103="","",D103*E103/VLOOKUP(B103,'Base perfiles'!$A$3:$O$200,3,)*G103*(1-F103)*1.105)</f>
        <v/>
      </c>
      <c r="N103" s="36" t="n"/>
      <c r="O103" s="29" t="n"/>
      <c r="P103" s="36" t="n"/>
      <c r="Q103" s="37" t="n"/>
      <c r="R103" s="38" t="n">
        <v>0.1</v>
      </c>
      <c r="S103" s="32">
        <f>IF(N103="","",IF(O103="negro",VLOOKUP(N103,'Base perfiles'!$A$3:$O$200,8,),IF(O103="blanco",VLOOKUP(N103,'Base perfiles'!$A$3:$O$200,7),IF(O103="ANODIZADO",VLOOKUP(N103,'Base perfiles'!$A$3:$O$200,6)))))</f>
        <v/>
      </c>
      <c r="T103" s="33">
        <f>IF(S103="","",P103*Q103/VLOOKUP(N103,'Base perfiles'!$A$3:$O$200,3,)*S103*(1-R103)*1.105)</f>
        <v/>
      </c>
    </row>
    <row r="104">
      <c r="B104" s="36" t="n"/>
      <c r="C104" s="29" t="n"/>
      <c r="D104" s="36" t="n"/>
      <c r="E104" s="37" t="n"/>
      <c r="F104" s="38" t="n">
        <v>0.1</v>
      </c>
      <c r="G104" s="32">
        <f>IF(B104="","",IF(C104="negro",VLOOKUP(B104,'Base perfiles'!$A$3:$O$200,8,),IF(C104="blanco",VLOOKUP(B104,'Base perfiles'!$A$3:$O$200,7),IF(C104="ANODIZADO",VLOOKUP(B104,'Base perfiles'!$A$3:$O$200,6)))))</f>
        <v/>
      </c>
      <c r="H104" s="33">
        <f>IF(G104="","",D104*E104/VLOOKUP(B104,'Base perfiles'!$A$3:$O$200,3,)*G104*(1-F104)*1.105)</f>
        <v/>
      </c>
      <c r="N104" s="36" t="n"/>
      <c r="O104" s="29" t="n"/>
      <c r="P104" s="36" t="n"/>
      <c r="Q104" s="37" t="n"/>
      <c r="R104" s="38" t="n">
        <v>0.1</v>
      </c>
      <c r="S104" s="32">
        <f>IF(N104="","",IF(O104="negro",VLOOKUP(N104,'Base perfiles'!$A$3:$O$200,8,),IF(O104="blanco",VLOOKUP(N104,'Base perfiles'!$A$3:$O$200,7),IF(O104="ANODIZADO",VLOOKUP(N104,'Base perfiles'!$A$3:$O$200,6)))))</f>
        <v/>
      </c>
      <c r="T104" s="33">
        <f>IF(S104="","",P104*Q104/VLOOKUP(N104,'Base perfiles'!$A$3:$O$200,3,)*S104*(1-R104)*1.105)</f>
        <v/>
      </c>
    </row>
    <row r="105">
      <c r="B105" s="36" t="n"/>
      <c r="C105" s="29" t="n"/>
      <c r="D105" s="36" t="n"/>
      <c r="E105" s="37" t="n"/>
      <c r="F105" s="38" t="n">
        <v>0.1</v>
      </c>
      <c r="G105" s="32">
        <f>IF(B105="","",IF(C105="negro",VLOOKUP(B105,'Base perfiles'!$A$3:$O$200,8,),IF(C105="blanco",VLOOKUP(B105,'Base perfiles'!$A$3:$O$200,7),IF(C105="ANODIZADO",VLOOKUP(B105,'Base perfiles'!$A$3:$O$200,6)))))</f>
        <v/>
      </c>
      <c r="H105" s="33">
        <f>IF(G105="","",D105*E105/VLOOKUP(B105,'Base perfiles'!$A$3:$O$200,3,)*G105*(1-F105)*1.105)</f>
        <v/>
      </c>
      <c r="N105" s="36" t="n"/>
      <c r="O105" s="29" t="n"/>
      <c r="P105" s="36" t="n"/>
      <c r="Q105" s="37" t="n"/>
      <c r="R105" s="38" t="n">
        <v>0.1</v>
      </c>
      <c r="S105" s="32">
        <f>IF(N105="","",IF(O105="negro",VLOOKUP(N105,'Base perfiles'!$A$3:$O$200,8,),IF(O105="blanco",VLOOKUP(N105,'Base perfiles'!$A$3:$O$200,7),IF(O105="ANODIZADO",VLOOKUP(N105,'Base perfiles'!$A$3:$O$200,6)))))</f>
        <v/>
      </c>
      <c r="T105" s="33">
        <f>IF(S105="","",P105*Q105/VLOOKUP(N105,'Base perfiles'!$A$3:$O$200,3,)*S105*(1-R105)*1.105)</f>
        <v/>
      </c>
    </row>
    <row r="106">
      <c r="B106" s="36" t="n"/>
      <c r="C106" s="29" t="n"/>
      <c r="D106" s="36" t="n"/>
      <c r="E106" s="37" t="n"/>
      <c r="F106" s="38" t="n">
        <v>0.1</v>
      </c>
      <c r="G106" s="32">
        <f>IF(B106="","",IF(C106="negro",VLOOKUP(B106,'Base perfiles'!$A$3:$O$200,8,),IF(C106="blanco",VLOOKUP(B106,'Base perfiles'!$A$3:$O$200,7),IF(C106="ANODIZADO",VLOOKUP(B106,'Base perfiles'!$A$3:$O$200,6)))))</f>
        <v/>
      </c>
      <c r="H106" s="33">
        <f>IF(G106="","",D106*E106/VLOOKUP(B106,'Base perfiles'!$A$3:$O$200,3,)*G106*(1-F106)*1.105)</f>
        <v/>
      </c>
      <c r="N106" s="36" t="n"/>
      <c r="O106" s="29" t="n"/>
      <c r="P106" s="36" t="n"/>
      <c r="Q106" s="37" t="n"/>
      <c r="R106" s="38" t="n">
        <v>0.1</v>
      </c>
      <c r="S106" s="32">
        <f>IF(N106="","",IF(O106="negro",VLOOKUP(N106,'Base perfiles'!$A$3:$O$200,8,),IF(O106="blanco",VLOOKUP(N106,'Base perfiles'!$A$3:$O$200,7),IF(O106="ANODIZADO",VLOOKUP(N106,'Base perfiles'!$A$3:$O$200,6)))))</f>
        <v/>
      </c>
      <c r="T106" s="33">
        <f>IF(S106="","",P106*Q106/VLOOKUP(N106,'Base perfiles'!$A$3:$O$200,3,)*S106*(1-R106)*1.105)</f>
        <v/>
      </c>
    </row>
    <row r="107">
      <c r="B107" s="36" t="n"/>
      <c r="C107" s="29" t="n"/>
      <c r="D107" s="36" t="n"/>
      <c r="E107" s="37" t="n"/>
      <c r="F107" s="38" t="n">
        <v>0.1</v>
      </c>
      <c r="G107" s="32">
        <f>IF(B107="","",IF(C107="negro",VLOOKUP(B107,'Base perfiles'!$A$3:$O$200,8,),IF(C107="blanco",VLOOKUP(B107,'Base perfiles'!$A$3:$O$200,7),IF(C107="ANODIZADO",VLOOKUP(B107,'Base perfiles'!$A$3:$O$200,6)))))</f>
        <v/>
      </c>
      <c r="H107" s="33">
        <f>IF(G107="","",D107*E107/VLOOKUP(B107,'Base perfiles'!$A$3:$O$200,3,)*G107*(1-F107)*1.105)</f>
        <v/>
      </c>
      <c r="N107" s="36" t="n"/>
      <c r="O107" s="29" t="n"/>
      <c r="P107" s="36" t="n"/>
      <c r="Q107" s="37" t="n"/>
      <c r="R107" s="38" t="n">
        <v>0.1</v>
      </c>
      <c r="S107" s="32">
        <f>IF(N107="","",IF(O107="negro",VLOOKUP(N107,'Base perfiles'!$A$3:$O$200,8,),IF(O107="blanco",VLOOKUP(N107,'Base perfiles'!$A$3:$O$200,7),IF(O107="ANODIZADO",VLOOKUP(N107,'Base perfiles'!$A$3:$O$200,6)))))</f>
        <v/>
      </c>
      <c r="T107" s="33">
        <f>IF(S107="","",P107*Q107/VLOOKUP(N107,'Base perfiles'!$A$3:$O$200,3,)*S107*(1-R107)*1.105)</f>
        <v/>
      </c>
    </row>
    <row r="108">
      <c r="B108" s="36" t="n"/>
      <c r="C108" s="29" t="n"/>
      <c r="D108" s="36" t="n"/>
      <c r="E108" s="37" t="n"/>
      <c r="F108" s="38" t="n">
        <v>0.1</v>
      </c>
      <c r="G108" s="32">
        <f>IF(B108="","",IF(C108="negro",VLOOKUP(B108,'Base perfiles'!$A$3:$O$200,8,),IF(C108="blanco",VLOOKUP(B108,'Base perfiles'!$A$3:$O$200,7),IF(C108="ANODIZADO",VLOOKUP(B108,'Base perfiles'!$A$3:$O$200,6)))))</f>
        <v/>
      </c>
      <c r="H108" s="33">
        <f>IF(G108="","",D108*E108/VLOOKUP(B108,'Base perfiles'!$A$3:$O$200,3,)*G108*(1-F108)*1.105)</f>
        <v/>
      </c>
      <c r="N108" s="36" t="n"/>
      <c r="O108" s="29" t="n"/>
      <c r="P108" s="36" t="n"/>
      <c r="Q108" s="37" t="n"/>
      <c r="R108" s="38" t="n">
        <v>0.1</v>
      </c>
      <c r="S108" s="32">
        <f>IF(N108="","",IF(O108="negro",VLOOKUP(N108,'Base perfiles'!$A$3:$O$200,8,),IF(O108="blanco",VLOOKUP(N108,'Base perfiles'!$A$3:$O$200,7),IF(O108="ANODIZADO",VLOOKUP(N108,'Base perfiles'!$A$3:$O$200,6)))))</f>
        <v/>
      </c>
      <c r="T108" s="33">
        <f>IF(S108="","",P108*Q108/VLOOKUP(N108,'Base perfiles'!$A$3:$O$200,3,)*S108*(1-R108)*1.105)</f>
        <v/>
      </c>
    </row>
    <row r="109">
      <c r="B109" s="36" t="n"/>
      <c r="C109" s="29" t="n"/>
      <c r="D109" s="36" t="n"/>
      <c r="E109" s="37" t="n"/>
      <c r="F109" s="38" t="n">
        <v>0.1</v>
      </c>
      <c r="G109" s="32">
        <f>IF(B109="","",IF(C109="negro",VLOOKUP(B109,'Base perfiles'!$A$3:$O$200,8,),IF(C109="blanco",VLOOKUP(B109,'Base perfiles'!$A$3:$O$200,7),IF(C109="ANODIZADO",VLOOKUP(B109,'Base perfiles'!$A$3:$O$200,6)))))</f>
        <v/>
      </c>
      <c r="H109" s="33">
        <f>IF(G109="","",D109*E109/VLOOKUP(B109,'Base perfiles'!$A$3:$O$200,3,)*G109*(1-F109)*1.105)</f>
        <v/>
      </c>
      <c r="N109" s="36" t="n"/>
      <c r="O109" s="29" t="n"/>
      <c r="P109" s="36" t="n"/>
      <c r="Q109" s="37" t="n"/>
      <c r="R109" s="38" t="n">
        <v>0.1</v>
      </c>
      <c r="S109" s="32">
        <f>IF(N109="","",IF(O109="negro",VLOOKUP(N109,'Base perfiles'!$A$3:$O$200,8,),IF(O109="blanco",VLOOKUP(N109,'Base perfiles'!$A$3:$O$200,7),IF(O109="ANODIZADO",VLOOKUP(N109,'Base perfiles'!$A$3:$O$200,6)))))</f>
        <v/>
      </c>
      <c r="T109" s="33">
        <f>IF(S109="","",P109*Q109/VLOOKUP(N109,'Base perfiles'!$A$3:$O$200,3,)*S109*(1-R109)*1.105)</f>
        <v/>
      </c>
    </row>
    <row r="110">
      <c r="B110" s="36" t="n"/>
      <c r="C110" s="29" t="n"/>
      <c r="D110" s="36" t="n"/>
      <c r="E110" s="37" t="n"/>
      <c r="F110" s="38" t="n">
        <v>0.1</v>
      </c>
      <c r="G110" s="32">
        <f>IF(B110="","",IF(C110="negro",VLOOKUP(B110,'Base perfiles'!$A$3:$O$200,8,),IF(C110="blanco",VLOOKUP(B110,'Base perfiles'!$A$3:$O$200,7),IF(C110="ANODIZADO",VLOOKUP(B110,'Base perfiles'!$A$3:$O$200,6)))))</f>
        <v/>
      </c>
      <c r="H110" s="33">
        <f>IF(G110="","",D110*E110/VLOOKUP(B110,'Base perfiles'!$A$3:$O$200,3,)*G110*(1-F110)*1.105)</f>
        <v/>
      </c>
      <c r="N110" s="36" t="n"/>
      <c r="O110" s="29" t="n"/>
      <c r="P110" s="36" t="n"/>
      <c r="Q110" s="37" t="n"/>
      <c r="R110" s="38" t="n">
        <v>0.1</v>
      </c>
      <c r="S110" s="32">
        <f>IF(N110="","",IF(O110="negro",VLOOKUP(N110,'Base perfiles'!$A$3:$O$200,8,),IF(O110="blanco",VLOOKUP(N110,'Base perfiles'!$A$3:$O$200,7),IF(O110="ANODIZADO",VLOOKUP(N110,'Base perfiles'!$A$3:$O$200,6)))))</f>
        <v/>
      </c>
      <c r="T110" s="33">
        <f>IF(S110="","",P110*Q110/VLOOKUP(N110,'Base perfiles'!$A$3:$O$200,3,)*S110*(1-R110)*1.105)</f>
        <v/>
      </c>
    </row>
    <row r="111">
      <c r="B111" s="36" t="n"/>
      <c r="C111" s="29" t="n"/>
      <c r="D111" s="36" t="n"/>
      <c r="E111" s="37" t="n"/>
      <c r="F111" s="38" t="n">
        <v>0.1</v>
      </c>
      <c r="G111" s="32">
        <f>IF(B111="","",IF(C111="negro",VLOOKUP(B111,'Base perfiles'!$A$3:$O$200,8,),IF(C111="blanco",VLOOKUP(B111,'Base perfiles'!$A$3:$O$200,7),IF(C111="ANODIZADO",VLOOKUP(B111,'Base perfiles'!$A$3:$O$200,6)))))</f>
        <v/>
      </c>
      <c r="H111" s="33">
        <f>IF(G111="","",D111*E111/VLOOKUP(B111,'Base perfiles'!$A$3:$O$200,3,)*G111*(1-F111)*1.105)</f>
        <v/>
      </c>
      <c r="N111" s="36" t="n"/>
      <c r="O111" s="29" t="n"/>
      <c r="P111" s="36" t="n"/>
      <c r="Q111" s="37" t="n"/>
      <c r="R111" s="38" t="n">
        <v>0.1</v>
      </c>
      <c r="S111" s="32">
        <f>IF(N111="","",IF(O111="negro",VLOOKUP(N111,'Base perfiles'!$A$3:$O$200,8,),IF(O111="blanco",VLOOKUP(N111,'Base perfiles'!$A$3:$O$200,7),IF(O111="ANODIZADO",VLOOKUP(N111,'Base perfiles'!$A$3:$O$200,6)))))</f>
        <v/>
      </c>
      <c r="T111" s="33">
        <f>IF(S111="","",P111*Q111/VLOOKUP(N111,'Base perfiles'!$A$3:$O$200,3,)*S111*(1-R111)*1.105)</f>
        <v/>
      </c>
    </row>
    <row r="112">
      <c r="B112" s="36" t="n"/>
      <c r="C112" s="29" t="n"/>
      <c r="D112" s="36" t="n"/>
      <c r="E112" s="37" t="n"/>
      <c r="F112" s="38" t="n">
        <v>0.1</v>
      </c>
      <c r="G112" s="32">
        <f>IF(B112="","",IF(C112="negro",VLOOKUP(B112,'Base perfiles'!$A$3:$O$200,8,),IF(C112="blanco",VLOOKUP(B112,'Base perfiles'!$A$3:$O$200,7),IF(C112="ANODIZADO",VLOOKUP(B112,'Base perfiles'!$A$3:$O$200,6)))))</f>
        <v/>
      </c>
      <c r="H112" s="33">
        <f>IF(G112="","",D112*E112/VLOOKUP(B112,'Base perfiles'!$A$3:$O$200,3,)*G112*(1-F112)*1.105)</f>
        <v/>
      </c>
      <c r="N112" s="36" t="n"/>
      <c r="O112" s="29" t="n"/>
      <c r="P112" s="36" t="n"/>
      <c r="Q112" s="37" t="n"/>
      <c r="R112" s="38" t="n">
        <v>0.1</v>
      </c>
      <c r="S112" s="32">
        <f>IF(N112="","",IF(O112="negro",VLOOKUP(N112,'Base perfiles'!$A$3:$O$200,8,),IF(O112="blanco",VLOOKUP(N112,'Base perfiles'!$A$3:$O$200,7),IF(O112="ANODIZADO",VLOOKUP(N112,'Base perfiles'!$A$3:$O$200,6)))))</f>
        <v/>
      </c>
      <c r="T112" s="33">
        <f>IF(S112="","",P112*Q112/VLOOKUP(N112,'Base perfiles'!$A$3:$O$200,3,)*S112*(1-R112)*1.105)</f>
        <v/>
      </c>
    </row>
    <row r="113">
      <c r="B113" s="36" t="n"/>
      <c r="C113" s="29" t="n"/>
      <c r="D113" s="36" t="n"/>
      <c r="E113" s="37" t="n"/>
      <c r="F113" s="38" t="n">
        <v>0.1</v>
      </c>
      <c r="G113" s="32">
        <f>IF(B113="","",IF(C113="negro",VLOOKUP(B113,'Base perfiles'!$A$3:$O$200,8,),IF(C113="blanco",VLOOKUP(B113,'Base perfiles'!$A$3:$O$200,7),IF(C113="ANODIZADO",VLOOKUP(B113,'Base perfiles'!$A$3:$O$200,6)))))</f>
        <v/>
      </c>
      <c r="H113" s="33">
        <f>IF(G113="","",D113*E113/VLOOKUP(B113,'Base perfiles'!$A$3:$O$200,3,)*G113*(1-F113)*1.105)</f>
        <v/>
      </c>
      <c r="N113" s="36" t="n"/>
      <c r="O113" s="29" t="n"/>
      <c r="P113" s="36" t="n"/>
      <c r="Q113" s="37" t="n"/>
      <c r="R113" s="38" t="n">
        <v>0.1</v>
      </c>
      <c r="S113" s="32">
        <f>IF(N113="","",IF(O113="negro",VLOOKUP(N113,'Base perfiles'!$A$3:$O$200,8,),IF(O113="blanco",VLOOKUP(N113,'Base perfiles'!$A$3:$O$200,7),IF(O113="ANODIZADO",VLOOKUP(N113,'Base perfiles'!$A$3:$O$200,6)))))</f>
        <v/>
      </c>
      <c r="T113" s="33">
        <f>IF(S113="","",P113*Q113/VLOOKUP(N113,'Base perfiles'!$A$3:$O$200,3,)*S113*(1-R113)*1.105)</f>
        <v/>
      </c>
    </row>
    <row r="114">
      <c r="B114" s="36" t="n"/>
      <c r="C114" s="29" t="n"/>
      <c r="D114" s="36" t="n"/>
      <c r="E114" s="37" t="n"/>
      <c r="F114" s="38" t="n">
        <v>0.1</v>
      </c>
      <c r="G114" s="32">
        <f>IF(B114="","",IF(C114="negro",VLOOKUP(B114,'Base perfiles'!$A$3:$O$200,8,),IF(C114="blanco",VLOOKUP(B114,'Base perfiles'!$A$3:$O$200,7),IF(C114="ANODIZADO",VLOOKUP(B114,'Base perfiles'!$A$3:$O$200,6)))))</f>
        <v/>
      </c>
      <c r="H114" s="33">
        <f>IF(G114="","",D114*E114/VLOOKUP(B114,'Base perfiles'!$A$3:$O$200,3,)*G114*(1-F114)*1.105)</f>
        <v/>
      </c>
      <c r="N114" s="36" t="n"/>
      <c r="O114" s="29" t="n"/>
      <c r="P114" s="36" t="n"/>
      <c r="Q114" s="37" t="n"/>
      <c r="R114" s="38" t="n">
        <v>0.1</v>
      </c>
      <c r="S114" s="32">
        <f>IF(N114="","",IF(O114="negro",VLOOKUP(N114,'Base perfiles'!$A$3:$O$200,8,),IF(O114="blanco",VLOOKUP(N114,'Base perfiles'!$A$3:$O$200,7),IF(O114="ANODIZADO",VLOOKUP(N114,'Base perfiles'!$A$3:$O$200,6)))))</f>
        <v/>
      </c>
      <c r="T114" s="33">
        <f>IF(S114="","",P114*Q114/VLOOKUP(N114,'Base perfiles'!$A$3:$O$200,3,)*S114*(1-R114)*1.105)</f>
        <v/>
      </c>
    </row>
    <row r="115">
      <c r="B115" s="36" t="n"/>
      <c r="C115" s="29" t="n"/>
      <c r="D115" s="36" t="n"/>
      <c r="E115" s="37" t="n"/>
      <c r="F115" s="38" t="n">
        <v>0.1</v>
      </c>
      <c r="G115" s="32">
        <f>IF(B115="","",IF(C115="negro",VLOOKUP(B115,'Base perfiles'!$A$3:$O$200,8,),IF(C115="blanco",VLOOKUP(B115,'Base perfiles'!$A$3:$O$200,7),IF(C115="ANODIZADO",VLOOKUP(B115,'Base perfiles'!$A$3:$O$200,6)))))</f>
        <v/>
      </c>
      <c r="H115" s="33">
        <f>IF(G115="","",D115*E115/VLOOKUP(B115,'Base perfiles'!$A$3:$O$200,3,)*G115*(1-F115)*1.105)</f>
        <v/>
      </c>
      <c r="N115" s="36" t="n"/>
      <c r="O115" s="29" t="n"/>
      <c r="P115" s="36" t="n"/>
      <c r="Q115" s="37" t="n"/>
      <c r="R115" s="38" t="n">
        <v>0.1</v>
      </c>
      <c r="S115" s="32">
        <f>IF(N115="","",IF(O115="negro",VLOOKUP(N115,'Base perfiles'!$A$3:$O$200,8,),IF(O115="blanco",VLOOKUP(N115,'Base perfiles'!$A$3:$O$200,7),IF(O115="ANODIZADO",VLOOKUP(N115,'Base perfiles'!$A$3:$O$200,6)))))</f>
        <v/>
      </c>
      <c r="T115" s="33">
        <f>IF(S115="","",P115*Q115/VLOOKUP(N115,'Base perfiles'!$A$3:$O$200,3,)*S115*(1-R115)*1.105)</f>
        <v/>
      </c>
    </row>
    <row r="116">
      <c r="B116" s="36" t="n"/>
      <c r="C116" s="29" t="n"/>
      <c r="D116" s="36" t="n"/>
      <c r="E116" s="37" t="n"/>
      <c r="F116" s="38" t="n">
        <v>0.1</v>
      </c>
      <c r="G116" s="32">
        <f>IF(B116="","",IF(C116="negro",VLOOKUP(B116,'Base perfiles'!$A$3:$O$200,8,),IF(C116="blanco",VLOOKUP(B116,'Base perfiles'!$A$3:$O$200,7),IF(C116="ANODIZADO",VLOOKUP(B116,'Base perfiles'!$A$3:$O$200,6)))))</f>
        <v/>
      </c>
      <c r="H116" s="33">
        <f>IF(G116="","",D116*E116/VLOOKUP(B116,'Base perfiles'!$A$3:$O$200,3,)*G116*(1-F116)*1.105)</f>
        <v/>
      </c>
      <c r="N116" s="36" t="n"/>
      <c r="O116" s="29" t="n"/>
      <c r="P116" s="36" t="n"/>
      <c r="Q116" s="37" t="n"/>
      <c r="R116" s="38" t="n">
        <v>0.1</v>
      </c>
      <c r="S116" s="32">
        <f>IF(N116="","",IF(O116="negro",VLOOKUP(N116,'Base perfiles'!$A$3:$O$200,8,),IF(O116="blanco",VLOOKUP(N116,'Base perfiles'!$A$3:$O$200,7),IF(O116="ANODIZADO",VLOOKUP(N116,'Base perfiles'!$A$3:$O$200,6)))))</f>
        <v/>
      </c>
      <c r="T116" s="33">
        <f>IF(S116="","",P116*Q116/VLOOKUP(N116,'Base perfiles'!$A$3:$O$200,3,)*S116*(1-R116)*1.105)</f>
        <v/>
      </c>
    </row>
    <row r="117">
      <c r="B117" s="36" t="n"/>
      <c r="C117" s="29" t="n"/>
      <c r="D117" s="36" t="n"/>
      <c r="E117" s="37" t="n"/>
      <c r="F117" s="38" t="n">
        <v>0.1</v>
      </c>
      <c r="G117" s="32">
        <f>IF(B117="","",IF(C117="negro",VLOOKUP(B117,'Base perfiles'!$A$3:$O$200,8,),IF(C117="blanco",VLOOKUP(B117,'Base perfiles'!$A$3:$O$200,7),IF(C117="ANODIZADO",VLOOKUP(B117,'Base perfiles'!$A$3:$O$200,6)))))</f>
        <v/>
      </c>
      <c r="H117" s="33">
        <f>IF(G117="","",D117*E117/VLOOKUP(B117,'Base perfiles'!$A$3:$O$200,3,)*G117*(1-F117)*1.105)</f>
        <v/>
      </c>
      <c r="N117" s="36" t="n"/>
      <c r="O117" s="29" t="n"/>
      <c r="P117" s="36" t="n"/>
      <c r="Q117" s="37" t="n"/>
      <c r="R117" s="38" t="n">
        <v>0.1</v>
      </c>
      <c r="S117" s="32">
        <f>IF(N117="","",IF(O117="negro",VLOOKUP(N117,'Base perfiles'!$A$3:$O$200,8,),IF(O117="blanco",VLOOKUP(N117,'Base perfiles'!$A$3:$O$200,7),IF(O117="ANODIZADO",VLOOKUP(N117,'Base perfiles'!$A$3:$O$200,6)))))</f>
        <v/>
      </c>
      <c r="T117" s="33">
        <f>IF(S117="","",P117*Q117/VLOOKUP(N117,'Base perfiles'!$A$3:$O$200,3,)*S117*(1-R117)*1.105)</f>
        <v/>
      </c>
    </row>
    <row r="118">
      <c r="B118" s="36" t="n"/>
      <c r="C118" s="29" t="n"/>
      <c r="D118" s="36" t="n"/>
      <c r="E118" s="37" t="n"/>
      <c r="F118" s="38" t="n">
        <v>0.1</v>
      </c>
      <c r="G118" s="32">
        <f>IF(B118="","",IF(C118="negro",VLOOKUP(B118,'Base perfiles'!$A$3:$O$200,8,),IF(C118="blanco",VLOOKUP(B118,'Base perfiles'!$A$3:$O$200,7),IF(C118="ANODIZADO",VLOOKUP(B118,'Base perfiles'!$A$3:$O$200,6)))))</f>
        <v/>
      </c>
      <c r="H118" s="33">
        <f>IF(G118="","",D118*E118/VLOOKUP(B118,'Base perfiles'!$A$3:$O$200,3,)*G118*(1-F118)*1.105)</f>
        <v/>
      </c>
      <c r="N118" s="36" t="n"/>
      <c r="O118" s="29" t="n"/>
      <c r="P118" s="36" t="n"/>
      <c r="Q118" s="37" t="n"/>
      <c r="R118" s="38" t="n">
        <v>0.1</v>
      </c>
      <c r="S118" s="32">
        <f>IF(N118="","",IF(O118="negro",VLOOKUP(N118,'Base perfiles'!$A$3:$O$200,8,),IF(O118="blanco",VLOOKUP(N118,'Base perfiles'!$A$3:$O$200,7),IF(O118="ANODIZADO",VLOOKUP(N118,'Base perfiles'!$A$3:$O$200,6)))))</f>
        <v/>
      </c>
      <c r="T118" s="33">
        <f>IF(S118="","",P118*Q118/VLOOKUP(N118,'Base perfiles'!$A$3:$O$200,3,)*S118*(1-R118)*1.105)</f>
        <v/>
      </c>
    </row>
    <row r="119">
      <c r="B119" s="36" t="n"/>
      <c r="C119" s="29" t="n"/>
      <c r="D119" s="36" t="n"/>
      <c r="E119" s="37" t="n"/>
      <c r="F119" s="38" t="n">
        <v>0.1</v>
      </c>
      <c r="G119" s="32">
        <f>IF(B119="","",IF(C119="negro",VLOOKUP(B119,'Base perfiles'!$A$3:$O$200,8,),IF(C119="blanco",VLOOKUP(B119,'Base perfiles'!$A$3:$O$200,7),IF(C119="ANODIZADO",VLOOKUP(B119,'Base perfiles'!$A$3:$O$200,6)))))</f>
        <v/>
      </c>
      <c r="H119" s="33">
        <f>IF(G119="","",D119*E119/VLOOKUP(B119,'Base perfiles'!$A$3:$O$200,3,)*G119*(1-F119)*1.105)</f>
        <v/>
      </c>
      <c r="N119" s="36" t="n"/>
      <c r="O119" s="29" t="n"/>
      <c r="P119" s="36" t="n"/>
      <c r="Q119" s="37" t="n"/>
      <c r="R119" s="38" t="n">
        <v>0.1</v>
      </c>
      <c r="S119" s="32">
        <f>IF(N119="","",IF(O119="negro",VLOOKUP(N119,'Base perfiles'!$A$3:$O$200,8,),IF(O119="blanco",VLOOKUP(N119,'Base perfiles'!$A$3:$O$200,7),IF(O119="ANODIZADO",VLOOKUP(N119,'Base perfiles'!$A$3:$O$200,6)))))</f>
        <v/>
      </c>
      <c r="T119" s="33">
        <f>IF(S119="","",P119*Q119/VLOOKUP(N119,'Base perfiles'!$A$3:$O$200,3,)*S119*(1-R119)*1.105)</f>
        <v/>
      </c>
    </row>
    <row r="120">
      <c r="B120" s="36" t="n"/>
      <c r="C120" s="29" t="n"/>
      <c r="D120" s="36" t="n"/>
      <c r="E120" s="37" t="n"/>
      <c r="F120" s="38" t="n">
        <v>0.1</v>
      </c>
      <c r="G120" s="32">
        <f>IF(B120="","",IF(C120="negro",VLOOKUP(B120,'Base perfiles'!$A$3:$O$200,8,),IF(C120="blanco",VLOOKUP(B120,'Base perfiles'!$A$3:$O$200,7),IF(C120="ANODIZADO",VLOOKUP(B120,'Base perfiles'!$A$3:$O$200,6)))))</f>
        <v/>
      </c>
      <c r="H120" s="33">
        <f>IF(G120="","",D120*E120/VLOOKUP(B120,'Base perfiles'!$A$3:$O$200,3,)*G120*(1-F120)*1.105)</f>
        <v/>
      </c>
      <c r="N120" s="36" t="n"/>
      <c r="O120" s="29" t="n"/>
      <c r="P120" s="36" t="n"/>
      <c r="Q120" s="37" t="n"/>
      <c r="R120" s="38" t="n">
        <v>0.1</v>
      </c>
      <c r="S120" s="32">
        <f>IF(N120="","",IF(O120="negro",VLOOKUP(N120,'Base perfiles'!$A$3:$O$200,8,),IF(O120="blanco",VLOOKUP(N120,'Base perfiles'!$A$3:$O$200,7),IF(O120="ANODIZADO",VLOOKUP(N120,'Base perfiles'!$A$3:$O$200,6)))))</f>
        <v/>
      </c>
      <c r="T120" s="33">
        <f>IF(S120="","",P120*Q120/VLOOKUP(N120,'Base perfiles'!$A$3:$O$200,3,)*S120*(1-R120)*1.105)</f>
        <v/>
      </c>
    </row>
    <row r="121">
      <c r="B121" s="36" t="n"/>
      <c r="C121" s="29" t="n"/>
      <c r="D121" s="36" t="n"/>
      <c r="E121" s="37" t="n"/>
      <c r="F121" s="38" t="n">
        <v>0.1</v>
      </c>
      <c r="G121" s="32">
        <f>IF(B121="","",IF(C121="negro",VLOOKUP(B121,'Base perfiles'!$A$3:$O$200,8,),IF(C121="blanco",VLOOKUP(B121,'Base perfiles'!$A$3:$O$200,7),IF(C121="ANODIZADO",VLOOKUP(B121,'Base perfiles'!$A$3:$O$200,6)))))</f>
        <v/>
      </c>
      <c r="H121" s="33">
        <f>IF(G121="","",D121*E121/VLOOKUP(B121,'Base perfiles'!$A$3:$O$200,3,)*G121*(1-F121)*1.105)</f>
        <v/>
      </c>
      <c r="N121" s="36" t="n"/>
      <c r="O121" s="29" t="n"/>
      <c r="P121" s="36" t="n"/>
      <c r="Q121" s="37" t="n"/>
      <c r="R121" s="38" t="n">
        <v>0.1</v>
      </c>
      <c r="S121" s="32">
        <f>IF(N121="","",IF(O121="negro",VLOOKUP(N121,'Base perfiles'!$A$3:$O$200,8,),IF(O121="blanco",VLOOKUP(N121,'Base perfiles'!$A$3:$O$200,7),IF(O121="ANODIZADO",VLOOKUP(N121,'Base perfiles'!$A$3:$O$200,6)))))</f>
        <v/>
      </c>
      <c r="T121" s="33">
        <f>IF(S121="","",P121*Q121/VLOOKUP(N121,'Base perfiles'!$A$3:$O$200,3,)*S121*(1-R121)*1.105)</f>
        <v/>
      </c>
    </row>
    <row r="122">
      <c r="B122" s="36" t="n"/>
      <c r="C122" s="29" t="n"/>
      <c r="D122" s="36" t="n"/>
      <c r="E122" s="37" t="n"/>
      <c r="F122" s="38" t="n">
        <v>0.1</v>
      </c>
      <c r="G122" s="32">
        <f>IF(B122="","",IF(C122="negro",VLOOKUP(B122,'Base perfiles'!$A$3:$O$200,8,),IF(C122="blanco",VLOOKUP(B122,'Base perfiles'!$A$3:$O$200,7),IF(C122="ANODIZADO",VLOOKUP(B122,'Base perfiles'!$A$3:$O$200,6)))))</f>
        <v/>
      </c>
      <c r="H122" s="33">
        <f>IF(G122="","",D122*E122/VLOOKUP(B122,'Base perfiles'!$A$3:$O$200,3,)*G122*(1-F122)*1.105)</f>
        <v/>
      </c>
      <c r="N122" s="36" t="n"/>
      <c r="O122" s="29" t="n"/>
      <c r="P122" s="36" t="n"/>
      <c r="Q122" s="37" t="n"/>
      <c r="R122" s="38" t="n">
        <v>0.1</v>
      </c>
      <c r="S122" s="32">
        <f>IF(N122="","",IF(O122="negro",VLOOKUP(N122,'Base perfiles'!$A$3:$O$200,8,),IF(O122="blanco",VLOOKUP(N122,'Base perfiles'!$A$3:$O$200,7),IF(O122="ANODIZADO",VLOOKUP(N122,'Base perfiles'!$A$3:$O$200,6)))))</f>
        <v/>
      </c>
      <c r="T122" s="33">
        <f>IF(S122="","",P122*Q122/VLOOKUP(N122,'Base perfiles'!$A$3:$O$200,3,)*S122*(1-R122)*1.105)</f>
        <v/>
      </c>
    </row>
    <row r="123">
      <c r="B123" s="36" t="n"/>
      <c r="C123" s="29" t="n"/>
      <c r="D123" s="36" t="n"/>
      <c r="E123" s="37" t="n"/>
      <c r="F123" s="38" t="n">
        <v>0.1</v>
      </c>
      <c r="G123" s="32">
        <f>IF(B123="","",IF(C123="negro",VLOOKUP(B123,'Base perfiles'!$A$3:$O$200,8,),IF(C123="blanco",VLOOKUP(B123,'Base perfiles'!$A$3:$O$200,7),IF(C123="ANODIZADO",VLOOKUP(B123,'Base perfiles'!$A$3:$O$200,6)))))</f>
        <v/>
      </c>
      <c r="H123" s="33">
        <f>IF(G123="","",D123*E123/VLOOKUP(B123,'Base perfiles'!$A$3:$O$200,3,)*G123*(1-F123)*1.105)</f>
        <v/>
      </c>
      <c r="N123" s="36" t="n"/>
      <c r="O123" s="29" t="n"/>
      <c r="P123" s="36" t="n"/>
      <c r="Q123" s="37" t="n"/>
      <c r="R123" s="38" t="n">
        <v>0.1</v>
      </c>
      <c r="S123" s="32">
        <f>IF(N123="","",IF(O123="negro",VLOOKUP(N123,'Base perfiles'!$A$3:$O$200,8,),IF(O123="blanco",VLOOKUP(N123,'Base perfiles'!$A$3:$O$200,7),IF(O123="ANODIZADO",VLOOKUP(N123,'Base perfiles'!$A$3:$O$200,6)))))</f>
        <v/>
      </c>
      <c r="T123" s="33">
        <f>IF(S123="","",P123*Q123/VLOOKUP(N123,'Base perfiles'!$A$3:$O$200,3,)*S123*(1-R123)*1.105)</f>
        <v/>
      </c>
    </row>
    <row r="124">
      <c r="B124" s="36" t="n"/>
      <c r="C124" s="29" t="n"/>
      <c r="D124" s="36" t="n"/>
      <c r="E124" s="37" t="n"/>
      <c r="F124" s="38" t="n">
        <v>0.1</v>
      </c>
      <c r="G124" s="32">
        <f>IF(B124="","",IF(C124="negro",VLOOKUP(B124,'Base perfiles'!$A$3:$O$200,8,),IF(C124="blanco",VLOOKUP(B124,'Base perfiles'!$A$3:$O$200,7),IF(C124="ANODIZADO",VLOOKUP(B124,'Base perfiles'!$A$3:$O$200,6)))))</f>
        <v/>
      </c>
      <c r="H124" s="33">
        <f>IF(G124="","",D124*E124/VLOOKUP(B124,'Base perfiles'!$A$3:$O$200,3,)*G124*(1-F124)*1.105)</f>
        <v/>
      </c>
      <c r="N124" s="36" t="n"/>
      <c r="O124" s="29" t="n"/>
      <c r="P124" s="36" t="n"/>
      <c r="Q124" s="37" t="n"/>
      <c r="R124" s="38" t="n">
        <v>0.1</v>
      </c>
      <c r="S124" s="32">
        <f>IF(N124="","",IF(O124="negro",VLOOKUP(N124,'Base perfiles'!$A$3:$O$200,8,),IF(O124="blanco",VLOOKUP(N124,'Base perfiles'!$A$3:$O$200,7),IF(O124="ANODIZADO",VLOOKUP(N124,'Base perfiles'!$A$3:$O$200,6)))))</f>
        <v/>
      </c>
      <c r="T124" s="33">
        <f>IF(S124="","",P124*Q124/VLOOKUP(N124,'Base perfiles'!$A$3:$O$200,3,)*S124*(1-R124)*1.105)</f>
        <v/>
      </c>
    </row>
    <row r="125">
      <c r="B125" s="36" t="n"/>
      <c r="C125" s="29" t="n"/>
      <c r="D125" s="36" t="n"/>
      <c r="E125" s="37" t="n"/>
      <c r="F125" s="38" t="n">
        <v>0.1</v>
      </c>
      <c r="G125" s="32">
        <f>IF(B125="","",IF(C125="negro",VLOOKUP(B125,'Base perfiles'!$A$3:$O$200,8,),IF(C125="blanco",VLOOKUP(B125,'Base perfiles'!$A$3:$O$200,7),IF(C125="ANODIZADO",VLOOKUP(B125,'Base perfiles'!$A$3:$O$200,6)))))</f>
        <v/>
      </c>
      <c r="H125" s="33">
        <f>IF(G125="","",D125*E125/VLOOKUP(B125,'Base perfiles'!$A$3:$O$200,3,)*G125*(1-F125)*1.105)</f>
        <v/>
      </c>
      <c r="N125" s="36" t="n"/>
      <c r="O125" s="29" t="n"/>
      <c r="P125" s="36" t="n"/>
      <c r="Q125" s="37" t="n"/>
      <c r="R125" s="38" t="n">
        <v>0.1</v>
      </c>
      <c r="S125" s="32">
        <f>IF(N125="","",IF(O125="negro",VLOOKUP(N125,'Base perfiles'!$A$3:$O$200,8,),IF(O125="blanco",VLOOKUP(N125,'Base perfiles'!$A$3:$O$200,7),IF(O125="ANODIZADO",VLOOKUP(N125,'Base perfiles'!$A$3:$O$200,6)))))</f>
        <v/>
      </c>
      <c r="T125" s="33">
        <f>IF(S125="","",P125*Q125/VLOOKUP(N125,'Base perfiles'!$A$3:$O$200,3,)*S125*(1-R125)*1.105)</f>
        <v/>
      </c>
    </row>
    <row r="126">
      <c r="B126" s="36" t="n"/>
      <c r="C126" s="29" t="n"/>
      <c r="D126" s="36" t="n"/>
      <c r="E126" s="37" t="n"/>
      <c r="F126" s="38" t="n">
        <v>0.1</v>
      </c>
      <c r="G126" s="32">
        <f>IF(B126="","",IF(C126="negro",VLOOKUP(B126,'Base perfiles'!$A$3:$O$200,8,),IF(C126="blanco",VLOOKUP(B126,'Base perfiles'!$A$3:$O$200,7),IF(C126="ANODIZADO",VLOOKUP(B126,'Base perfiles'!$A$3:$O$200,6)))))</f>
        <v/>
      </c>
      <c r="H126" s="33">
        <f>IF(G126="","",D126*E126/VLOOKUP(B126,'Base perfiles'!$A$3:$O$200,3,)*G126*(1-F126)*1.105)</f>
        <v/>
      </c>
      <c r="N126" s="36" t="n"/>
      <c r="O126" s="29" t="n"/>
      <c r="P126" s="36" t="n"/>
      <c r="Q126" s="37" t="n"/>
      <c r="R126" s="38" t="n">
        <v>0.1</v>
      </c>
      <c r="S126" s="32">
        <f>IF(N126="","",IF(O126="negro",VLOOKUP(N126,'Base perfiles'!$A$3:$O$200,8,),IF(O126="blanco",VLOOKUP(N126,'Base perfiles'!$A$3:$O$200,7),IF(O126="ANODIZADO",VLOOKUP(N126,'Base perfiles'!$A$3:$O$200,6)))))</f>
        <v/>
      </c>
      <c r="T126" s="33">
        <f>IF(S126="","",P126*Q126/VLOOKUP(N126,'Base perfiles'!$A$3:$O$200,3,)*S126*(1-R126)*1.105)</f>
        <v/>
      </c>
    </row>
    <row r="127">
      <c r="B127" s="36" t="n"/>
      <c r="C127" s="29" t="n"/>
      <c r="D127" s="36" t="n"/>
      <c r="E127" s="37" t="n"/>
      <c r="F127" s="38" t="n">
        <v>0.1</v>
      </c>
      <c r="G127" s="32">
        <f>IF(B127="","",IF(C127="negro",VLOOKUP(B127,'Base perfiles'!$A$3:$O$200,8,),IF(C127="blanco",VLOOKUP(B127,'Base perfiles'!$A$3:$O$200,7),IF(C127="ANODIZADO",VLOOKUP(B127,'Base perfiles'!$A$3:$O$200,6)))))</f>
        <v/>
      </c>
      <c r="H127" s="33">
        <f>IF(G127="","",D127*E127/VLOOKUP(B127,'Base perfiles'!$A$3:$O$200,3,)*G127*(1-F127)*1.105)</f>
        <v/>
      </c>
      <c r="N127" s="36" t="n"/>
      <c r="O127" s="29" t="n"/>
      <c r="P127" s="36" t="n"/>
      <c r="Q127" s="37" t="n"/>
      <c r="R127" s="38" t="n">
        <v>0.1</v>
      </c>
      <c r="S127" s="32">
        <f>IF(N127="","",IF(O127="negro",VLOOKUP(N127,'Base perfiles'!$A$3:$O$200,8,),IF(O127="blanco",VLOOKUP(N127,'Base perfiles'!$A$3:$O$200,7),IF(O127="ANODIZADO",VLOOKUP(N127,'Base perfiles'!$A$3:$O$200,6)))))</f>
        <v/>
      </c>
      <c r="T127" s="33">
        <f>IF(S127="","",P127*Q127/VLOOKUP(N127,'Base perfiles'!$A$3:$O$200,3,)*S127*(1-R127)*1.105)</f>
        <v/>
      </c>
    </row>
    <row r="128">
      <c r="B128" s="36" t="n"/>
      <c r="C128" s="29" t="n"/>
      <c r="D128" s="36" t="n"/>
      <c r="E128" s="37" t="n"/>
      <c r="F128" s="38" t="n">
        <v>0.1</v>
      </c>
      <c r="G128" s="32">
        <f>IF(B128="","",IF(C128="negro",VLOOKUP(B128,'Base perfiles'!$A$3:$O$200,8,),IF(C128="blanco",VLOOKUP(B128,'Base perfiles'!$A$3:$O$200,7),IF(C128="ANODIZADO",VLOOKUP(B128,'Base perfiles'!$A$3:$O$200,6)))))</f>
        <v/>
      </c>
      <c r="H128" s="33">
        <f>IF(G128="","",D128*E128/VLOOKUP(B128,'Base perfiles'!$A$3:$O$200,3,)*G128*(1-F128)*1.105)</f>
        <v/>
      </c>
      <c r="N128" s="36" t="n"/>
      <c r="O128" s="29" t="n"/>
      <c r="P128" s="36" t="n"/>
      <c r="Q128" s="37" t="n"/>
      <c r="R128" s="38" t="n">
        <v>0.1</v>
      </c>
      <c r="S128" s="32">
        <f>IF(N128="","",IF(O128="negro",VLOOKUP(N128,'Base perfiles'!$A$3:$O$200,8,),IF(O128="blanco",VLOOKUP(N128,'Base perfiles'!$A$3:$O$200,7),IF(O128="ANODIZADO",VLOOKUP(N128,'Base perfiles'!$A$3:$O$200,6)))))</f>
        <v/>
      </c>
      <c r="T128" s="33">
        <f>IF(S128="","",P128*Q128/VLOOKUP(N128,'Base perfiles'!$A$3:$O$200,3,)*S128*(1-R128)*1.105)</f>
        <v/>
      </c>
    </row>
    <row r="129">
      <c r="B129" s="36" t="n"/>
      <c r="C129" s="29" t="n"/>
      <c r="D129" s="36" t="n"/>
      <c r="E129" s="37" t="n"/>
      <c r="F129" s="38" t="n">
        <v>0.1</v>
      </c>
      <c r="G129" s="32">
        <f>IF(B129="","",IF(C129="negro",VLOOKUP(B129,'Base perfiles'!$A$3:$O$200,8,),IF(C129="blanco",VLOOKUP(B129,'Base perfiles'!$A$3:$O$200,7),IF(C129="ANODIZADO",VLOOKUP(B129,'Base perfiles'!$A$3:$O$200,6)))))</f>
        <v/>
      </c>
      <c r="H129" s="33">
        <f>IF(G129="","",D129*E129/VLOOKUP(B129,'Base perfiles'!$A$3:$O$200,3,)*G129*(1-F129)*1.105)</f>
        <v/>
      </c>
      <c r="N129" s="36" t="n"/>
      <c r="O129" s="29" t="n"/>
      <c r="P129" s="36" t="n"/>
      <c r="Q129" s="37" t="n"/>
      <c r="R129" s="38" t="n">
        <v>0.1</v>
      </c>
      <c r="S129" s="32">
        <f>IF(N129="","",IF(O129="negro",VLOOKUP(N129,'Base perfiles'!$A$3:$O$200,8,),IF(O129="blanco",VLOOKUP(N129,'Base perfiles'!$A$3:$O$200,7),IF(O129="ANODIZADO",VLOOKUP(N129,'Base perfiles'!$A$3:$O$200,6)))))</f>
        <v/>
      </c>
      <c r="T129" s="33">
        <f>IF(S129="","",P129*Q129/VLOOKUP(N129,'Base perfiles'!$A$3:$O$200,3,)*S129*(1-R129)*1.105)</f>
        <v/>
      </c>
    </row>
    <row r="130">
      <c r="B130" s="36" t="n"/>
      <c r="C130" s="29" t="n"/>
      <c r="D130" s="36" t="n"/>
      <c r="E130" s="37" t="n"/>
      <c r="F130" s="38" t="n">
        <v>0.1</v>
      </c>
      <c r="G130" s="32">
        <f>IF(B130="","",IF(C130="negro",VLOOKUP(B130,'Base perfiles'!$A$3:$O$200,8,),IF(C130="blanco",VLOOKUP(B130,'Base perfiles'!$A$3:$O$200,7),IF(C130="ANODIZADO",VLOOKUP(B130,'Base perfiles'!$A$3:$O$200,6)))))</f>
        <v/>
      </c>
      <c r="H130" s="33">
        <f>IF(G130="","",D130*E130/VLOOKUP(B130,'Base perfiles'!$A$3:$O$200,3,)*G130*(1-F130)*1.105)</f>
        <v/>
      </c>
      <c r="N130" s="36" t="n"/>
      <c r="O130" s="29" t="n"/>
      <c r="P130" s="36" t="n"/>
      <c r="Q130" s="37" t="n"/>
      <c r="R130" s="38" t="n">
        <v>0.1</v>
      </c>
      <c r="S130" s="32">
        <f>IF(N130="","",IF(O130="negro",VLOOKUP(N130,'Base perfiles'!$A$3:$O$200,8,),IF(O130="blanco",VLOOKUP(N130,'Base perfiles'!$A$3:$O$200,7),IF(O130="ANODIZADO",VLOOKUP(N130,'Base perfiles'!$A$3:$O$200,6)))))</f>
        <v/>
      </c>
      <c r="T130" s="33">
        <f>IF(S130="","",P130*Q130/VLOOKUP(N130,'Base perfiles'!$A$3:$O$200,3,)*S130*(1-R130)*1.105)</f>
        <v/>
      </c>
    </row>
    <row r="131">
      <c r="B131" s="36" t="n"/>
      <c r="C131" s="29" t="n"/>
      <c r="D131" s="36" t="n"/>
      <c r="E131" s="37" t="n"/>
      <c r="F131" s="38" t="n">
        <v>0.1</v>
      </c>
      <c r="G131" s="32">
        <f>IF(B131="","",IF(C131="negro",VLOOKUP(B131,'Base perfiles'!$A$3:$O$200,8,),IF(C131="blanco",VLOOKUP(B131,'Base perfiles'!$A$3:$O$200,7),IF(C131="ANODIZADO",VLOOKUP(B131,'Base perfiles'!$A$3:$O$200,6)))))</f>
        <v/>
      </c>
      <c r="H131" s="33">
        <f>IF(G131="","",D131*E131/VLOOKUP(B131,'Base perfiles'!$A$3:$O$200,3,)*G131*(1-F131)*1.105)</f>
        <v/>
      </c>
      <c r="N131" s="36" t="n"/>
      <c r="O131" s="29" t="n"/>
      <c r="P131" s="36" t="n"/>
      <c r="Q131" s="37" t="n"/>
      <c r="R131" s="38" t="n">
        <v>0.1</v>
      </c>
      <c r="S131" s="32">
        <f>IF(N131="","",IF(O131="negro",VLOOKUP(N131,'Base perfiles'!$A$3:$O$200,8,),IF(O131="blanco",VLOOKUP(N131,'Base perfiles'!$A$3:$O$200,7),IF(O131="ANODIZADO",VLOOKUP(N131,'Base perfiles'!$A$3:$O$200,6)))))</f>
        <v/>
      </c>
      <c r="T131" s="33">
        <f>IF(S131="","",P131*Q131/VLOOKUP(N131,'Base perfiles'!$A$3:$O$200,3,)*S131*(1-R131)*1.105)</f>
        <v/>
      </c>
    </row>
    <row r="132">
      <c r="B132" s="36" t="n"/>
      <c r="C132" s="29" t="n"/>
      <c r="D132" s="36" t="n"/>
      <c r="E132" s="37" t="n"/>
      <c r="F132" s="38" t="n">
        <v>0.1</v>
      </c>
      <c r="G132" s="32">
        <f>IF(B132="","",IF(C132="negro",VLOOKUP(B132,'Base perfiles'!$A$3:$O$200,8,),IF(C132="blanco",VLOOKUP(B132,'Base perfiles'!$A$3:$O$200,7),IF(C132="ANODIZADO",VLOOKUP(B132,'Base perfiles'!$A$3:$O$200,6)))))</f>
        <v/>
      </c>
      <c r="H132" s="33">
        <f>IF(G132="","",D132*E132/VLOOKUP(B132,'Base perfiles'!$A$3:$O$200,3,)*G132*(1-F132)*1.105)</f>
        <v/>
      </c>
      <c r="N132" s="36" t="n"/>
      <c r="O132" s="29" t="n"/>
      <c r="P132" s="36" t="n"/>
      <c r="Q132" s="37" t="n"/>
      <c r="R132" s="38" t="n">
        <v>0.1</v>
      </c>
      <c r="S132" s="32">
        <f>IF(N132="","",IF(O132="negro",VLOOKUP(N132,'Base perfiles'!$A$3:$O$200,8,),IF(O132="blanco",VLOOKUP(N132,'Base perfiles'!$A$3:$O$200,7),IF(O132="ANODIZADO",VLOOKUP(N132,'Base perfiles'!$A$3:$O$200,6)))))</f>
        <v/>
      </c>
      <c r="T132" s="33">
        <f>IF(S132="","",P132*Q132/VLOOKUP(N132,'Base perfiles'!$A$3:$O$200,3,)*S132*(1-R132)*1.105)</f>
        <v/>
      </c>
    </row>
    <row r="133">
      <c r="B133" s="36" t="n"/>
      <c r="C133" s="29" t="n"/>
      <c r="D133" s="36" t="n"/>
      <c r="E133" s="37" t="n"/>
      <c r="F133" s="38" t="n">
        <v>0.1</v>
      </c>
      <c r="G133" s="32">
        <f>IF(B133="","",IF(C133="negro",VLOOKUP(B133,'Base perfiles'!$A$3:$O$200,8,),IF(C133="blanco",VLOOKUP(B133,'Base perfiles'!$A$3:$O$200,7),IF(C133="ANODIZADO",VLOOKUP(B133,'Base perfiles'!$A$3:$O$200,6)))))</f>
        <v/>
      </c>
      <c r="H133" s="33">
        <f>IF(G133="","",D133*E133/VLOOKUP(B133,'Base perfiles'!$A$3:$O$200,3,)*G133*(1-F133)*1.105)</f>
        <v/>
      </c>
      <c r="N133" s="36" t="n"/>
      <c r="O133" s="29" t="n"/>
      <c r="P133" s="36" t="n"/>
      <c r="Q133" s="37" t="n"/>
      <c r="R133" s="38" t="n">
        <v>0.1</v>
      </c>
      <c r="S133" s="32">
        <f>IF(N133="","",IF(O133="negro",VLOOKUP(N133,'Base perfiles'!$A$3:$O$200,8,),IF(O133="blanco",VLOOKUP(N133,'Base perfiles'!$A$3:$O$200,7),IF(O133="ANODIZADO",VLOOKUP(N133,'Base perfiles'!$A$3:$O$200,6)))))</f>
        <v/>
      </c>
      <c r="T133" s="33">
        <f>IF(S133="","",P133*Q133/VLOOKUP(N133,'Base perfiles'!$A$3:$O$200,3,)*S133*(1-R133)*1.105)</f>
        <v/>
      </c>
    </row>
    <row r="134">
      <c r="B134" s="36" t="n"/>
      <c r="C134" s="29" t="n"/>
      <c r="D134" s="36" t="n"/>
      <c r="E134" s="37" t="n"/>
      <c r="F134" s="38" t="n">
        <v>0.1</v>
      </c>
      <c r="G134" s="32">
        <f>IF(B134="","",IF(C134="negro",VLOOKUP(B134,'Base perfiles'!$A$3:$O$200,8,),IF(C134="blanco",VLOOKUP(B134,'Base perfiles'!$A$3:$O$200,7),IF(C134="ANODIZADO",VLOOKUP(B134,'Base perfiles'!$A$3:$O$200,6)))))</f>
        <v/>
      </c>
      <c r="H134" s="33">
        <f>IF(G134="","",D134*E134/VLOOKUP(B134,'Base perfiles'!$A$3:$O$200,3,)*G134*(1-F134)*1.105)</f>
        <v/>
      </c>
      <c r="N134" s="36" t="n"/>
      <c r="O134" s="29" t="n"/>
      <c r="P134" s="36" t="n"/>
      <c r="Q134" s="37" t="n"/>
      <c r="R134" s="38" t="n">
        <v>0.1</v>
      </c>
      <c r="S134" s="32">
        <f>IF(N134="","",IF(O134="negro",VLOOKUP(N134,'Base perfiles'!$A$3:$O$200,8,),IF(O134="blanco",VLOOKUP(N134,'Base perfiles'!$A$3:$O$200,7),IF(O134="ANODIZADO",VLOOKUP(N134,'Base perfiles'!$A$3:$O$200,6)))))</f>
        <v/>
      </c>
      <c r="T134" s="33">
        <f>IF(S134="","",P134*Q134/VLOOKUP(N134,'Base perfiles'!$A$3:$O$200,3,)*S134*(1-R134)*1.105)</f>
        <v/>
      </c>
    </row>
    <row r="135">
      <c r="B135" s="36" t="n"/>
      <c r="C135" s="29" t="n"/>
      <c r="D135" s="36" t="n"/>
      <c r="E135" s="37" t="n"/>
      <c r="F135" s="38" t="n">
        <v>0.1</v>
      </c>
      <c r="G135" s="32">
        <f>IF(B135="","",IF(C135="negro",VLOOKUP(B135,'Base perfiles'!$A$3:$O$200,8,),IF(C135="blanco",VLOOKUP(B135,'Base perfiles'!$A$3:$O$200,7),IF(C135="ANODIZADO",VLOOKUP(B135,'Base perfiles'!$A$3:$O$200,6)))))</f>
        <v/>
      </c>
      <c r="H135" s="33">
        <f>IF(G135="","",D135*E135/VLOOKUP(B135,'Base perfiles'!$A$3:$O$200,3,)*G135*(1-F135)*1.105)</f>
        <v/>
      </c>
      <c r="N135" s="36" t="n"/>
      <c r="O135" s="29" t="n"/>
      <c r="P135" s="36" t="n"/>
      <c r="Q135" s="37" t="n"/>
      <c r="R135" s="38" t="n">
        <v>0.1</v>
      </c>
      <c r="S135" s="32">
        <f>IF(N135="","",IF(O135="negro",VLOOKUP(N135,'Base perfiles'!$A$3:$O$200,8,),IF(O135="blanco",VLOOKUP(N135,'Base perfiles'!$A$3:$O$200,7),IF(O135="ANODIZADO",VLOOKUP(N135,'Base perfiles'!$A$3:$O$200,6)))))</f>
        <v/>
      </c>
      <c r="T135" s="33">
        <f>IF(S135="","",P135*Q135/VLOOKUP(N135,'Base perfiles'!$A$3:$O$200,3,)*S135*(1-R135)*1.105)</f>
        <v/>
      </c>
    </row>
    <row r="136">
      <c r="B136" s="36" t="n"/>
      <c r="C136" s="29" t="n"/>
      <c r="D136" s="36" t="n"/>
      <c r="E136" s="37" t="n"/>
      <c r="F136" s="38" t="n">
        <v>0.1</v>
      </c>
      <c r="G136" s="32">
        <f>IF(B136="","",IF(C136="negro",VLOOKUP(B136,'Base perfiles'!$A$3:$O$200,8,),IF(C136="blanco",VLOOKUP(B136,'Base perfiles'!$A$3:$O$200,7),IF(C136="ANODIZADO",VLOOKUP(B136,'Base perfiles'!$A$3:$O$200,6)))))</f>
        <v/>
      </c>
      <c r="H136" s="33">
        <f>IF(G136="","",D136*E136/VLOOKUP(B136,'Base perfiles'!$A$3:$O$200,3,)*G136*(1-F136)*1.105)</f>
        <v/>
      </c>
      <c r="N136" s="36" t="n"/>
      <c r="O136" s="29" t="n"/>
      <c r="P136" s="36" t="n"/>
      <c r="Q136" s="37" t="n"/>
      <c r="R136" s="38" t="n">
        <v>0.1</v>
      </c>
      <c r="S136" s="32">
        <f>IF(N136="","",IF(O136="negro",VLOOKUP(N136,'Base perfiles'!$A$3:$O$200,8,),IF(O136="blanco",VLOOKUP(N136,'Base perfiles'!$A$3:$O$200,7),IF(O136="ANODIZADO",VLOOKUP(N136,'Base perfiles'!$A$3:$O$200,6)))))</f>
        <v/>
      </c>
      <c r="T136" s="33">
        <f>IF(S136="","",P136*Q136/VLOOKUP(N136,'Base perfiles'!$A$3:$O$200,3,)*S136*(1-R136)*1.105)</f>
        <v/>
      </c>
    </row>
    <row r="137">
      <c r="B137" s="36" t="n"/>
      <c r="C137" s="29" t="n"/>
      <c r="D137" s="36" t="n"/>
      <c r="E137" s="37" t="n"/>
      <c r="F137" s="38" t="n">
        <v>0.1</v>
      </c>
      <c r="G137" s="32">
        <f>IF(B137="","",IF(C137="negro",VLOOKUP(B137,'Base perfiles'!$A$3:$O$200,8,),IF(C137="blanco",VLOOKUP(B137,'Base perfiles'!$A$3:$O$200,7),IF(C137="ANODIZADO",VLOOKUP(B137,'Base perfiles'!$A$3:$O$200,6)))))</f>
        <v/>
      </c>
      <c r="H137" s="33">
        <f>IF(G137="","",D137*E137/VLOOKUP(B137,'Base perfiles'!$A$3:$O$200,3,)*G137*(1-F137)*1.105)</f>
        <v/>
      </c>
      <c r="N137" s="36" t="n"/>
      <c r="O137" s="29" t="n"/>
      <c r="P137" s="36" t="n"/>
      <c r="Q137" s="37" t="n"/>
      <c r="R137" s="38" t="n">
        <v>0.1</v>
      </c>
      <c r="S137" s="32">
        <f>IF(N137="","",IF(O137="negro",VLOOKUP(N137,'Base perfiles'!$A$3:$O$200,8,),IF(O137="blanco",VLOOKUP(N137,'Base perfiles'!$A$3:$O$200,7),IF(O137="ANODIZADO",VLOOKUP(N137,'Base perfiles'!$A$3:$O$200,6)))))</f>
        <v/>
      </c>
      <c r="T137" s="33">
        <f>IF(S137="","",P137*Q137/VLOOKUP(N137,'Base perfiles'!$A$3:$O$200,3,)*S137*(1-R137)*1.105)</f>
        <v/>
      </c>
    </row>
    <row r="138">
      <c r="B138" s="36" t="n"/>
      <c r="C138" s="29" t="n"/>
      <c r="D138" s="36" t="n"/>
      <c r="E138" s="37" t="n"/>
      <c r="F138" s="38" t="n">
        <v>0.1</v>
      </c>
      <c r="G138" s="32">
        <f>IF(B138="","",IF(C138="negro",VLOOKUP(B138,'Base perfiles'!$A$3:$O$200,8,),IF(C138="blanco",VLOOKUP(B138,'Base perfiles'!$A$3:$O$200,7),IF(C138="ANODIZADO",VLOOKUP(B138,'Base perfiles'!$A$3:$O$200,6)))))</f>
        <v/>
      </c>
      <c r="H138" s="33">
        <f>IF(G138="","",D138*E138/VLOOKUP(B138,'Base perfiles'!$A$3:$O$200,3,)*G138*(1-F138)*1.105)</f>
        <v/>
      </c>
      <c r="N138" s="36" t="n"/>
      <c r="O138" s="29" t="n"/>
      <c r="P138" s="36" t="n"/>
      <c r="Q138" s="37" t="n"/>
      <c r="R138" s="38" t="n">
        <v>0.1</v>
      </c>
      <c r="S138" s="32">
        <f>IF(N138="","",IF(O138="negro",VLOOKUP(N138,'Base perfiles'!$A$3:$O$200,8,),IF(O138="blanco",VLOOKUP(N138,'Base perfiles'!$A$3:$O$200,7),IF(O138="ANODIZADO",VLOOKUP(N138,'Base perfiles'!$A$3:$O$200,6)))))</f>
        <v/>
      </c>
      <c r="T138" s="33">
        <f>IF(S138="","",P138*Q138/VLOOKUP(N138,'Base perfiles'!$A$3:$O$200,3,)*S138*(1-R138)*1.105)</f>
        <v/>
      </c>
    </row>
    <row r="139">
      <c r="B139" s="36" t="n"/>
      <c r="C139" s="29" t="n"/>
      <c r="D139" s="36" t="n"/>
      <c r="E139" s="37" t="n"/>
      <c r="F139" s="38" t="n">
        <v>0.1</v>
      </c>
      <c r="G139" s="32">
        <f>IF(B139="","",IF(C139="negro",VLOOKUP(B139,'Base perfiles'!$A$3:$O$200,8,),IF(C139="blanco",VLOOKUP(B139,'Base perfiles'!$A$3:$O$200,7),IF(C139="ANODIZADO",VLOOKUP(B139,'Base perfiles'!$A$3:$O$200,6)))))</f>
        <v/>
      </c>
      <c r="H139" s="33">
        <f>IF(G139="","",D139*E139/VLOOKUP(B139,'Base perfiles'!$A$3:$O$200,3,)*G139*(1-F139)*1.105)</f>
        <v/>
      </c>
      <c r="N139" s="36" t="n"/>
      <c r="O139" s="29" t="n"/>
      <c r="P139" s="36" t="n"/>
      <c r="Q139" s="37" t="n"/>
      <c r="R139" s="38" t="n">
        <v>0.1</v>
      </c>
      <c r="S139" s="32">
        <f>IF(N139="","",IF(O139="negro",VLOOKUP(N139,'Base perfiles'!$A$3:$O$200,8,),IF(O139="blanco",VLOOKUP(N139,'Base perfiles'!$A$3:$O$200,7),IF(O139="ANODIZADO",VLOOKUP(N139,'Base perfiles'!$A$3:$O$200,6)))))</f>
        <v/>
      </c>
      <c r="T139" s="33">
        <f>IF(S139="","",P139*Q139/VLOOKUP(N139,'Base perfiles'!$A$3:$O$200,3,)*S139*(1-R139)*1.105)</f>
        <v/>
      </c>
    </row>
    <row r="140">
      <c r="B140" s="36" t="n"/>
      <c r="C140" s="29" t="n"/>
      <c r="D140" s="36" t="n"/>
      <c r="E140" s="37" t="n"/>
      <c r="F140" s="38" t="n">
        <v>0.1</v>
      </c>
      <c r="G140" s="32">
        <f>IF(B140="","",IF(C140="negro",VLOOKUP(B140,'Base perfiles'!$A$3:$O$200,8,),IF(C140="blanco",VLOOKUP(B140,'Base perfiles'!$A$3:$O$200,7),IF(C140="ANODIZADO",VLOOKUP(B140,'Base perfiles'!$A$3:$O$200,6)))))</f>
        <v/>
      </c>
      <c r="H140" s="33">
        <f>IF(G140="","",D140*E140/VLOOKUP(B140,'Base perfiles'!$A$3:$O$200,3,)*G140*(1-F140)*1.105)</f>
        <v/>
      </c>
      <c r="N140" s="36" t="n"/>
      <c r="O140" s="29" t="n"/>
      <c r="P140" s="36" t="n"/>
      <c r="Q140" s="37" t="n"/>
      <c r="R140" s="38" t="n">
        <v>0.1</v>
      </c>
      <c r="S140" s="32">
        <f>IF(N140="","",IF(O140="negro",VLOOKUP(N140,'Base perfiles'!$A$3:$O$200,8,),IF(O140="blanco",VLOOKUP(N140,'Base perfiles'!$A$3:$O$200,7),IF(O140="ANODIZADO",VLOOKUP(N140,'Base perfiles'!$A$3:$O$200,6)))))</f>
        <v/>
      </c>
      <c r="T140" s="33">
        <f>IF(S140="","",P140*Q140/VLOOKUP(N140,'Base perfiles'!$A$3:$O$200,3,)*S140*(1-R140)*1.105)</f>
        <v/>
      </c>
    </row>
    <row r="141">
      <c r="B141" s="36" t="n"/>
      <c r="C141" s="29" t="n"/>
      <c r="D141" s="36" t="n"/>
      <c r="E141" s="37" t="n"/>
      <c r="F141" s="38" t="n">
        <v>0.1</v>
      </c>
      <c r="G141" s="32">
        <f>IF(B141="","",IF(C141="negro",VLOOKUP(B141,'Base perfiles'!$A$3:$O$200,8,),IF(C141="blanco",VLOOKUP(B141,'Base perfiles'!$A$3:$O$200,7),IF(C141="ANODIZADO",VLOOKUP(B141,'Base perfiles'!$A$3:$O$200,6)))))</f>
        <v/>
      </c>
      <c r="H141" s="33">
        <f>IF(G141="","",D141*E141/VLOOKUP(B141,'Base perfiles'!$A$3:$O$200,3,)*G141*(1-F141)*1.105)</f>
        <v/>
      </c>
      <c r="N141" s="36" t="n"/>
      <c r="O141" s="29" t="n"/>
      <c r="P141" s="36" t="n"/>
      <c r="Q141" s="37" t="n"/>
      <c r="R141" s="38" t="n">
        <v>0.1</v>
      </c>
      <c r="S141" s="32">
        <f>IF(N141="","",IF(O141="negro",VLOOKUP(N141,'Base perfiles'!$A$3:$O$200,8,),IF(O141="blanco",VLOOKUP(N141,'Base perfiles'!$A$3:$O$200,7),IF(O141="ANODIZADO",VLOOKUP(N141,'Base perfiles'!$A$3:$O$200,6)))))</f>
        <v/>
      </c>
      <c r="T141" s="33">
        <f>IF(S141="","",P141*Q141/VLOOKUP(N141,'Base perfiles'!$A$3:$O$200,3,)*S141*(1-R141)*1.105)</f>
        <v/>
      </c>
    </row>
    <row r="142">
      <c r="B142" s="36" t="n"/>
      <c r="C142" s="29" t="n"/>
      <c r="D142" s="36" t="n"/>
      <c r="E142" s="37" t="n"/>
      <c r="F142" s="38" t="n">
        <v>0.1</v>
      </c>
      <c r="G142" s="32">
        <f>IF(B142="","",IF(C142="negro",VLOOKUP(B142,'Base perfiles'!$A$3:$O$200,8,),IF(C142="blanco",VLOOKUP(B142,'Base perfiles'!$A$3:$O$200,7),IF(C142="ANODIZADO",VLOOKUP(B142,'Base perfiles'!$A$3:$O$200,6)))))</f>
        <v/>
      </c>
      <c r="H142" s="33">
        <f>IF(G142="","",D142*E142/VLOOKUP(B142,'Base perfiles'!$A$3:$O$200,3,)*G142*(1-F142)*1.105)</f>
        <v/>
      </c>
      <c r="N142" s="36" t="n"/>
      <c r="O142" s="29" t="n"/>
      <c r="P142" s="36" t="n"/>
      <c r="Q142" s="37" t="n"/>
      <c r="R142" s="38" t="n">
        <v>0.1</v>
      </c>
      <c r="S142" s="32">
        <f>IF(N142="","",IF(O142="negro",VLOOKUP(N142,'Base perfiles'!$A$3:$O$200,8,),IF(O142="blanco",VLOOKUP(N142,'Base perfiles'!$A$3:$O$200,7),IF(O142="ANODIZADO",VLOOKUP(N142,'Base perfiles'!$A$3:$O$200,6)))))</f>
        <v/>
      </c>
      <c r="T142" s="33">
        <f>IF(S142="","",P142*Q142/VLOOKUP(N142,'Base perfiles'!$A$3:$O$200,3,)*S142*(1-R142)*1.105)</f>
        <v/>
      </c>
    </row>
    <row r="143">
      <c r="B143" s="36" t="n"/>
      <c r="C143" s="29" t="n"/>
      <c r="D143" s="36" t="n"/>
      <c r="E143" s="37" t="n"/>
      <c r="F143" s="38" t="n">
        <v>0.1</v>
      </c>
      <c r="G143" s="32">
        <f>IF(B143="","",IF(C143="negro",VLOOKUP(B143,'Base perfiles'!$A$3:$O$200,8,),IF(C143="blanco",VLOOKUP(B143,'Base perfiles'!$A$3:$O$200,7),IF(C143="ANODIZADO",VLOOKUP(B143,'Base perfiles'!$A$3:$O$200,6)))))</f>
        <v/>
      </c>
      <c r="H143" s="33">
        <f>IF(G143="","",D143*E143/VLOOKUP(B143,'Base perfiles'!$A$3:$O$200,3,)*G143*(1-F143)*1.105)</f>
        <v/>
      </c>
      <c r="N143" s="36" t="n"/>
      <c r="O143" s="29" t="n"/>
      <c r="P143" s="36" t="n"/>
      <c r="Q143" s="37" t="n"/>
      <c r="R143" s="38" t="n">
        <v>0.1</v>
      </c>
      <c r="S143" s="32">
        <f>IF(N143="","",IF(O143="negro",VLOOKUP(N143,'Base perfiles'!$A$3:$O$200,8,),IF(O143="blanco",VLOOKUP(N143,'Base perfiles'!$A$3:$O$200,7),IF(O143="ANODIZADO",VLOOKUP(N143,'Base perfiles'!$A$3:$O$200,6)))))</f>
        <v/>
      </c>
      <c r="T143" s="33">
        <f>IF(S143="","",P143*Q143/VLOOKUP(N143,'Base perfiles'!$A$3:$O$200,3,)*S143*(1-R143)*1.105)</f>
        <v/>
      </c>
    </row>
    <row r="144">
      <c r="B144" s="36" t="n"/>
      <c r="C144" s="29" t="n"/>
      <c r="D144" s="36" t="n"/>
      <c r="E144" s="37" t="n"/>
      <c r="F144" s="38" t="n">
        <v>0.1</v>
      </c>
      <c r="G144" s="32">
        <f>IF(B144="","",IF(C144="negro",VLOOKUP(B144,'Base perfiles'!$A$3:$O$200,8,),IF(C144="blanco",VLOOKUP(B144,'Base perfiles'!$A$3:$O$200,7),IF(C144="ANODIZADO",VLOOKUP(B144,'Base perfiles'!$A$3:$O$200,6)))))</f>
        <v/>
      </c>
      <c r="H144" s="33">
        <f>IF(G144="","",D144*E144/VLOOKUP(B144,'Base perfiles'!$A$3:$O$200,3,)*G144*(1-F144)*1.105)</f>
        <v/>
      </c>
      <c r="N144" s="36" t="n"/>
      <c r="O144" s="29" t="n"/>
      <c r="P144" s="36" t="n"/>
      <c r="Q144" s="37" t="n"/>
      <c r="R144" s="38" t="n">
        <v>0.1</v>
      </c>
      <c r="S144" s="32">
        <f>IF(N144="","",IF(O144="negro",VLOOKUP(N144,'Base perfiles'!$A$3:$O$200,8,),IF(O144="blanco",VLOOKUP(N144,'Base perfiles'!$A$3:$O$200,7),IF(O144="ANODIZADO",VLOOKUP(N144,'Base perfiles'!$A$3:$O$200,6)))))</f>
        <v/>
      </c>
      <c r="T144" s="33">
        <f>IF(S144="","",P144*Q144/VLOOKUP(N144,'Base perfiles'!$A$3:$O$200,3,)*S144*(1-R144)*1.105)</f>
        <v/>
      </c>
    </row>
    <row r="145">
      <c r="B145" s="36" t="n"/>
      <c r="C145" s="29" t="n"/>
      <c r="D145" s="36" t="n"/>
      <c r="E145" s="37" t="n"/>
      <c r="F145" s="38" t="n">
        <v>0.1</v>
      </c>
      <c r="G145" s="32">
        <f>IF(B145="","",IF(C145="negro",VLOOKUP(B145,'Base perfiles'!$A$3:$O$200,8,),IF(C145="blanco",VLOOKUP(B145,'Base perfiles'!$A$3:$O$200,7),IF(C145="ANODIZADO",VLOOKUP(B145,'Base perfiles'!$A$3:$O$200,6)))))</f>
        <v/>
      </c>
      <c r="H145" s="33">
        <f>IF(G145="","",D145*E145/VLOOKUP(B145,'Base perfiles'!$A$3:$O$200,3,)*G145*(1-F145)*1.105)</f>
        <v/>
      </c>
      <c r="N145" s="36" t="n"/>
      <c r="O145" s="29" t="n"/>
      <c r="P145" s="36" t="n"/>
      <c r="Q145" s="37" t="n"/>
      <c r="R145" s="38" t="n">
        <v>0.1</v>
      </c>
      <c r="S145" s="32">
        <f>IF(N145="","",IF(O145="negro",VLOOKUP(N145,'Base perfiles'!$A$3:$O$200,8,),IF(O145="blanco",VLOOKUP(N145,'Base perfiles'!$A$3:$O$200,7),IF(O145="ANODIZADO",VLOOKUP(N145,'Base perfiles'!$A$3:$O$200,6)))))</f>
        <v/>
      </c>
      <c r="T145" s="33">
        <f>IF(S145="","",P145*Q145/VLOOKUP(N145,'Base perfiles'!$A$3:$O$200,3,)*S145*(1-R145)*1.105)</f>
        <v/>
      </c>
    </row>
    <row r="146">
      <c r="B146" s="36" t="n"/>
      <c r="C146" s="29" t="n"/>
      <c r="D146" s="36" t="n"/>
      <c r="E146" s="37" t="n"/>
      <c r="F146" s="38" t="n">
        <v>0.1</v>
      </c>
      <c r="G146" s="32">
        <f>IF(B146="","",IF(C146="negro",VLOOKUP(B146,'Base perfiles'!$A$3:$O$200,8,),IF(C146="blanco",VLOOKUP(B146,'Base perfiles'!$A$3:$O$200,7),IF(C146="ANODIZADO",VLOOKUP(B146,'Base perfiles'!$A$3:$O$200,6)))))</f>
        <v/>
      </c>
      <c r="H146" s="33">
        <f>IF(G146="","",D146*E146/VLOOKUP(B146,'Base perfiles'!$A$3:$O$200,3,)*G146*(1-F146)*1.105)</f>
        <v/>
      </c>
      <c r="N146" s="36" t="n"/>
      <c r="O146" s="29" t="n"/>
      <c r="P146" s="36" t="n"/>
      <c r="Q146" s="37" t="n"/>
      <c r="R146" s="38" t="n">
        <v>0.1</v>
      </c>
      <c r="S146" s="32">
        <f>IF(N146="","",IF(O146="negro",VLOOKUP(N146,'Base perfiles'!$A$3:$O$200,8,),IF(O146="blanco",VLOOKUP(N146,'Base perfiles'!$A$3:$O$200,7),IF(O146="ANODIZADO",VLOOKUP(N146,'Base perfiles'!$A$3:$O$200,6)))))</f>
        <v/>
      </c>
      <c r="T146" s="33">
        <f>IF(S146="","",P146*Q146/VLOOKUP(N146,'Base perfiles'!$A$3:$O$200,3,)*S146*(1-R146)*1.105)</f>
        <v/>
      </c>
    </row>
    <row r="147">
      <c r="B147" s="36" t="n"/>
      <c r="C147" s="29" t="n"/>
      <c r="D147" s="36" t="n"/>
      <c r="E147" s="37" t="n"/>
      <c r="F147" s="38" t="n">
        <v>0.1</v>
      </c>
      <c r="G147" s="32">
        <f>IF(B147="","",IF(C147="negro",VLOOKUP(B147,'Base perfiles'!$A$3:$O$200,8,),IF(C147="blanco",VLOOKUP(B147,'Base perfiles'!$A$3:$O$200,7),IF(C147="ANODIZADO",VLOOKUP(B147,'Base perfiles'!$A$3:$O$200,6)))))</f>
        <v/>
      </c>
      <c r="H147" s="33">
        <f>IF(G147="","",D147*E147/VLOOKUP(B147,'Base perfiles'!$A$3:$O$200,3,)*G147*(1-F147)*1.105)</f>
        <v/>
      </c>
      <c r="N147" s="36" t="n"/>
      <c r="O147" s="29" t="n"/>
      <c r="P147" s="36" t="n"/>
      <c r="Q147" s="37" t="n"/>
      <c r="R147" s="38" t="n">
        <v>0.1</v>
      </c>
      <c r="S147" s="32">
        <f>IF(N147="","",IF(O147="negro",VLOOKUP(N147,'Base perfiles'!$A$3:$O$200,8,),IF(O147="blanco",VLOOKUP(N147,'Base perfiles'!$A$3:$O$200,7),IF(O147="ANODIZADO",VLOOKUP(N147,'Base perfiles'!$A$3:$O$200,6)))))</f>
        <v/>
      </c>
      <c r="T147" s="33">
        <f>IF(S147="","",P147*Q147/VLOOKUP(N147,'Base perfiles'!$A$3:$O$200,3,)*S147*(1-R147)*1.105)</f>
        <v/>
      </c>
    </row>
    <row r="148">
      <c r="B148" s="36" t="n"/>
      <c r="C148" s="29" t="n"/>
      <c r="D148" s="36" t="n"/>
      <c r="E148" s="37" t="n"/>
      <c r="F148" s="38" t="n">
        <v>0.1</v>
      </c>
      <c r="G148" s="32">
        <f>IF(B148="","",IF(C148="negro",VLOOKUP(B148,'Base perfiles'!$A$3:$O$200,8,),IF(C148="blanco",VLOOKUP(B148,'Base perfiles'!$A$3:$O$200,7),IF(C148="ANODIZADO",VLOOKUP(B148,'Base perfiles'!$A$3:$O$200,6)))))</f>
        <v/>
      </c>
      <c r="H148" s="33">
        <f>IF(G148="","",D148*E148/VLOOKUP(B148,'Base perfiles'!$A$3:$O$200,3,)*G148*(1-F148)*1.105)</f>
        <v/>
      </c>
      <c r="N148" s="36" t="n"/>
      <c r="O148" s="29" t="n"/>
      <c r="P148" s="36" t="n"/>
      <c r="Q148" s="37" t="n"/>
      <c r="R148" s="38" t="n">
        <v>0.1</v>
      </c>
      <c r="S148" s="32">
        <f>IF(N148="","",IF(O148="negro",VLOOKUP(N148,'Base perfiles'!$A$3:$O$200,8,),IF(O148="blanco",VLOOKUP(N148,'Base perfiles'!$A$3:$O$200,7),IF(O148="ANODIZADO",VLOOKUP(N148,'Base perfiles'!$A$3:$O$200,6)))))</f>
        <v/>
      </c>
      <c r="T148" s="33">
        <f>IF(S148="","",P148*Q148/VLOOKUP(N148,'Base perfiles'!$A$3:$O$200,3,)*S148*(1-R148)*1.105)</f>
        <v/>
      </c>
    </row>
    <row r="149">
      <c r="B149" s="36" t="n"/>
      <c r="C149" s="29" t="n"/>
      <c r="D149" s="36" t="n"/>
      <c r="E149" s="37" t="n"/>
      <c r="F149" s="38" t="n">
        <v>0.1</v>
      </c>
      <c r="G149" s="32">
        <f>IF(B149="","",IF(C149="negro",VLOOKUP(B149,'Base perfiles'!$A$3:$O$200,8,),IF(C149="blanco",VLOOKUP(B149,'Base perfiles'!$A$3:$O$200,7),IF(C149="ANODIZADO",VLOOKUP(B149,'Base perfiles'!$A$3:$O$200,6)))))</f>
        <v/>
      </c>
      <c r="H149" s="33">
        <f>IF(G149="","",D149*E149/VLOOKUP(B149,'Base perfiles'!$A$3:$O$200,3,)*G149*(1-F149)*1.105)</f>
        <v/>
      </c>
      <c r="N149" s="36" t="n"/>
      <c r="O149" s="29" t="n"/>
      <c r="P149" s="36" t="n"/>
      <c r="Q149" s="37" t="n"/>
      <c r="R149" s="38" t="n">
        <v>0.1</v>
      </c>
      <c r="S149" s="32">
        <f>IF(N149="","",IF(O149="negro",VLOOKUP(N149,'Base perfiles'!$A$3:$O$200,8,),IF(O149="blanco",VLOOKUP(N149,'Base perfiles'!$A$3:$O$200,7),IF(O149="ANODIZADO",VLOOKUP(N149,'Base perfiles'!$A$3:$O$200,6)))))</f>
        <v/>
      </c>
      <c r="T149" s="33">
        <f>IF(S149="","",P149*Q149/VLOOKUP(N149,'Base perfiles'!$A$3:$O$200,3,)*S149*(1-R149)*1.105)</f>
        <v/>
      </c>
    </row>
    <row r="150">
      <c r="G150">
        <f>IF(B150="","",IF(C150="negro",VLOOKUP(B150,'Base perfiles'!$A$3:$O$200,8,),IF(C150="blanco",VLOOKUP(B150,'Base perfiles'!$A$3:$O$200,7),IF(C150="ANODIZADO",VLOOKUP(B150,'Base perfiles'!$A$3:$O$200,6)))))</f>
        <v/>
      </c>
      <c r="H150">
        <f>IF(G150="","",D150*E150/VLOOKUP(B150,'Base perfiles'!$A$3:$O$200,3,)*G150*(1-F150)*1.105)</f>
        <v/>
      </c>
      <c r="N150" s="36" t="n"/>
      <c r="O150" s="29" t="n"/>
      <c r="P150" s="36" t="n"/>
      <c r="Q150" s="37" t="n"/>
      <c r="R150" s="38" t="n">
        <v>0.1</v>
      </c>
      <c r="S150" s="32">
        <f>IF(N150="","",IF(O150="negro",VLOOKUP(N150,'Base perfiles'!$A$3:$O$200,8,),IF(O150="blanco",VLOOKUP(N150,'Base perfiles'!$A$3:$O$200,7),IF(O150="ANODIZADO",VLOOKUP(N150,'Base perfiles'!$A$3:$O$200,6)))))</f>
        <v/>
      </c>
      <c r="T150" s="33">
        <f>IF(S150="","",P150*Q150/VLOOKUP(N150,'Base perfiles'!$A$3:$O$200,3,)*S150*(1-R150)*1.105)</f>
        <v/>
      </c>
    </row>
    <row r="151">
      <c r="G151">
        <f>IF(B151="","",IF(C151="negro",VLOOKUP(B151,'Base perfiles'!$A$3:$O$200,8,),IF(C151="blanco",VLOOKUP(B151,'Base perfiles'!$A$3:$O$200,7),IF(C151="ANODIZADO",VLOOKUP(B151,'Base perfiles'!$A$3:$O$200,6)))))</f>
        <v/>
      </c>
      <c r="H151">
        <f>IF(G151="","",D151*E151/VLOOKUP(B151,'Base perfiles'!$A$3:$O$200,3,)*G151*(1-F151)*1.105)</f>
        <v/>
      </c>
      <c r="N151" s="36" t="n"/>
      <c r="O151" s="29" t="n"/>
      <c r="P151" s="36" t="n"/>
      <c r="Q151" s="37" t="n"/>
      <c r="R151" s="38" t="n">
        <v>0.1</v>
      </c>
      <c r="S151" s="32">
        <f>IF(N151="","",IF(O151="negro",VLOOKUP(N151,'Base perfiles'!$A$3:$O$200,8,),IF(O151="blanco",VLOOKUP(N151,'Base perfiles'!$A$3:$O$200,7),IF(O151="ANODIZADO",VLOOKUP(N151,'Base perfiles'!$A$3:$O$200,6)))))</f>
        <v/>
      </c>
      <c r="T151" s="33">
        <f>IF(S151="","",P151*Q151/VLOOKUP(N151,'Base perfiles'!$A$3:$O$200,3,)*S151*(1-R151)*1.105)</f>
        <v/>
      </c>
    </row>
    <row r="152">
      <c r="G152">
        <f>IF(B152="","",IF(C152="negro",VLOOKUP(B152,'Base perfiles'!$A$3:$O$200,8,),IF(C152="blanco",VLOOKUP(B152,'Base perfiles'!$A$3:$O$200,7),IF(C152="ANODIZADO",VLOOKUP(B152,'Base perfiles'!$A$3:$O$200,6)))))</f>
        <v/>
      </c>
      <c r="H152">
        <f>IF(G152="","",D152*E152/VLOOKUP(B152,'Base perfiles'!$A$3:$O$200,3,)*G152*(1-F152)*1.105)</f>
        <v/>
      </c>
      <c r="N152" s="36" t="n"/>
      <c r="O152" s="29" t="n"/>
      <c r="P152" s="36" t="n"/>
      <c r="Q152" s="37" t="n"/>
      <c r="R152" s="38" t="n">
        <v>0.1</v>
      </c>
      <c r="S152" s="32">
        <f>IF(N152="","",IF(O152="negro",VLOOKUP(N152,'Base perfiles'!$A$3:$O$200,8,),IF(O152="blanco",VLOOKUP(N152,'Base perfiles'!$A$3:$O$200,7),IF(O152="ANODIZADO",VLOOKUP(N152,'Base perfiles'!$A$3:$O$200,6)))))</f>
        <v/>
      </c>
      <c r="T152" s="33">
        <f>IF(S152="","",P152*Q152/VLOOKUP(N152,'Base perfiles'!$A$3:$O$200,3,)*S152*(1-R152)*1.105)</f>
        <v/>
      </c>
    </row>
    <row r="153">
      <c r="G153">
        <f>IF(B153="","",IF(C153="negro",VLOOKUP(B153,'Base perfiles'!$A$3:$O$200,8,),IF(C153="blanco",VLOOKUP(B153,'Base perfiles'!$A$3:$O$200,7),IF(C153="ANODIZADO",VLOOKUP(B153,'Base perfiles'!$A$3:$O$200,6)))))</f>
        <v/>
      </c>
      <c r="H153">
        <f>IF(G153="","",D153*E153/VLOOKUP(B153,'Base perfiles'!$A$3:$O$200,3,)*G153*(1-F153)*1.105)</f>
        <v/>
      </c>
      <c r="N153" s="36" t="n"/>
      <c r="O153" s="29" t="n"/>
      <c r="P153" s="36" t="n"/>
      <c r="Q153" s="37" t="n"/>
      <c r="R153" s="38" t="n">
        <v>0.1</v>
      </c>
      <c r="S153" s="32">
        <f>IF(N153="","",IF(O153="negro",VLOOKUP(N153,'Base perfiles'!$A$3:$O$200,8,),IF(O153="blanco",VLOOKUP(N153,'Base perfiles'!$A$3:$O$200,7),IF(O153="ANODIZADO",VLOOKUP(N153,'Base perfiles'!$A$3:$O$200,6)))))</f>
        <v/>
      </c>
      <c r="T153" s="33">
        <f>IF(S153="","",P153*Q153/VLOOKUP(N153,'Base perfiles'!$A$3:$O$200,3,)*S153*(1-R153)*1.105)</f>
        <v/>
      </c>
    </row>
    <row r="154">
      <c r="G154">
        <f>IF(B154="","",IF(C154="negro",VLOOKUP(B154,'Base perfiles'!$A$3:$O$200,8,),IF(C154="blanco",VLOOKUP(B154,'Base perfiles'!$A$3:$O$200,7),IF(C154="ANODIZADO",VLOOKUP(B154,'Base perfiles'!$A$3:$O$200,6)))))</f>
        <v/>
      </c>
      <c r="H154">
        <f>IF(G154="","",D154*E154/VLOOKUP(B154,'Base perfiles'!$A$3:$O$200,3,)*G154*(1-F154)*1.105)</f>
        <v/>
      </c>
      <c r="N154" s="36" t="n"/>
      <c r="O154" s="29" t="n"/>
      <c r="P154" s="36" t="n"/>
      <c r="Q154" s="37" t="n"/>
      <c r="R154" s="38" t="n">
        <v>0.1</v>
      </c>
      <c r="S154" s="32">
        <f>IF(N154="","",IF(O154="negro",VLOOKUP(N154,'Base perfiles'!$A$3:$O$200,8,),IF(O154="blanco",VLOOKUP(N154,'Base perfiles'!$A$3:$O$200,7),IF(O154="ANODIZADO",VLOOKUP(N154,'Base perfiles'!$A$3:$O$200,6)))))</f>
        <v/>
      </c>
      <c r="T154" s="33">
        <f>IF(S154="","",P154*Q154/VLOOKUP(N154,'Base perfiles'!$A$3:$O$200,3,)*S154*(1-R154)*1.105)</f>
        <v/>
      </c>
    </row>
    <row r="155">
      <c r="G155">
        <f>IF(B155="","",IF(C155="negro",VLOOKUP(B155,'Base perfiles'!$A$3:$O$200,8,),IF(C155="blanco",VLOOKUP(B155,'Base perfiles'!$A$3:$O$200,7),IF(C155="ANODIZADO",VLOOKUP(B155,'Base perfiles'!$A$3:$O$200,6)))))</f>
        <v/>
      </c>
      <c r="H155">
        <f>IF(G155="","",D155*E155/VLOOKUP(B155,'Base perfiles'!$A$3:$O$200,3,)*G155*(1-F155)*1.105)</f>
        <v/>
      </c>
      <c r="N155" s="36" t="n"/>
      <c r="O155" s="29" t="n"/>
      <c r="P155" s="36" t="n"/>
      <c r="Q155" s="37" t="n"/>
      <c r="R155" s="38" t="n">
        <v>0.1</v>
      </c>
      <c r="S155" s="32">
        <f>IF(N155="","",IF(O155="negro",VLOOKUP(N155,'Base perfiles'!$A$3:$O$200,8,),IF(O155="blanco",VLOOKUP(N155,'Base perfiles'!$A$3:$O$200,7),IF(O155="ANODIZADO",VLOOKUP(N155,'Base perfiles'!$A$3:$O$200,6)))))</f>
        <v/>
      </c>
      <c r="T155" s="33">
        <f>IF(S155="","",P155*Q155/VLOOKUP(N155,'Base perfiles'!$A$3:$O$200,3,)*S155*(1-R155)*1.105)</f>
        <v/>
      </c>
    </row>
    <row r="156">
      <c r="G156">
        <f>IF(B156="","",IF(C156="negro",VLOOKUP(B156,'Base perfiles'!$A$3:$O$200,8,),IF(C156="blanco",VLOOKUP(B156,'Base perfiles'!$A$3:$O$200,7),IF(C156="ANODIZADO",VLOOKUP(B156,'Base perfiles'!$A$3:$O$200,6)))))</f>
        <v/>
      </c>
      <c r="H156">
        <f>IF(G156="","",D156*E156/VLOOKUP(B156,'Base perfiles'!$A$3:$O$200,3,)*G156*(1-F156)*1.105)</f>
        <v/>
      </c>
      <c r="N156" s="36" t="n"/>
      <c r="O156" s="29" t="n"/>
      <c r="P156" s="36" t="n"/>
      <c r="Q156" s="37" t="n"/>
      <c r="R156" s="38" t="n">
        <v>0.1</v>
      </c>
      <c r="S156" s="32">
        <f>IF(N156="","",IF(O156="negro",VLOOKUP(N156,'Base perfiles'!$A$3:$O$200,8,),IF(O156="blanco",VLOOKUP(N156,'Base perfiles'!$A$3:$O$200,7),IF(O156="ANODIZADO",VLOOKUP(N156,'Base perfiles'!$A$3:$O$200,6)))))</f>
        <v/>
      </c>
      <c r="T156" s="33">
        <f>IF(S156="","",P156*Q156/VLOOKUP(N156,'Base perfiles'!$A$3:$O$200,3,)*S156*(1-R156)*1.105)</f>
        <v/>
      </c>
    </row>
    <row r="157">
      <c r="G157">
        <f>IF(B157="","",IF(C157="negro",VLOOKUP(B157,'Base perfiles'!$A$3:$O$200,8,),IF(C157="blanco",VLOOKUP(B157,'Base perfiles'!$A$3:$O$200,7),IF(C157="ANODIZADO",VLOOKUP(B157,'Base perfiles'!$A$3:$O$200,6)))))</f>
        <v/>
      </c>
      <c r="H157">
        <f>IF(G157="","",D157*E157/VLOOKUP(B157,'Base perfiles'!$A$3:$O$200,3,)*G157*(1-F157)*1.105)</f>
        <v/>
      </c>
      <c r="N157" s="36" t="n"/>
      <c r="O157" s="29" t="n"/>
      <c r="P157" s="36" t="n"/>
      <c r="Q157" s="37" t="n"/>
      <c r="R157" s="38" t="n">
        <v>0.1</v>
      </c>
      <c r="S157" s="32">
        <f>IF(N157="","",IF(O157="negro",VLOOKUP(N157,'Base perfiles'!$A$3:$O$200,8,),IF(O157="blanco",VLOOKUP(N157,'Base perfiles'!$A$3:$O$200,7),IF(O157="ANODIZADO",VLOOKUP(N157,'Base perfiles'!$A$3:$O$200,6)))))</f>
        <v/>
      </c>
      <c r="T157" s="33">
        <f>IF(S157="","",P157*Q157/VLOOKUP(N157,'Base perfiles'!$A$3:$O$200,3,)*S157*(1-R157)*1.105)</f>
        <v/>
      </c>
    </row>
    <row r="158">
      <c r="G158">
        <f>IF(B158="","",IF(C158="negro",VLOOKUP(B158,'Base perfiles'!$A$3:$O$200,8,),IF(C158="blanco",VLOOKUP(B158,'Base perfiles'!$A$3:$O$200,7),IF(C158="ANODIZADO",VLOOKUP(B158,'Base perfiles'!$A$3:$O$200,6)))))</f>
        <v/>
      </c>
      <c r="H158">
        <f>IF(G158="","",D158*E158/VLOOKUP(B158,'Base perfiles'!$A$3:$O$200,3,)*G158*(1-F158)*1.105)</f>
        <v/>
      </c>
      <c r="N158" s="36" t="n"/>
      <c r="O158" s="29" t="n"/>
      <c r="P158" s="36" t="n"/>
      <c r="Q158" s="37" t="n"/>
      <c r="R158" s="38" t="n">
        <v>0.1</v>
      </c>
      <c r="S158" s="32">
        <f>IF(N158="","",IF(O158="negro",VLOOKUP(N158,'Base perfiles'!$A$3:$O$200,8,),IF(O158="blanco",VLOOKUP(N158,'Base perfiles'!$A$3:$O$200,7),IF(O158="ANODIZADO",VLOOKUP(N158,'Base perfiles'!$A$3:$O$200,6)))))</f>
        <v/>
      </c>
      <c r="T158" s="33">
        <f>IF(S158="","",P158*Q158/VLOOKUP(N158,'Base perfiles'!$A$3:$O$200,3,)*S158*(1-R158)*1.105)</f>
        <v/>
      </c>
    </row>
    <row r="159">
      <c r="G159">
        <f>IF(B159="","",IF(C159="negro",VLOOKUP(B159,'Base perfiles'!$A$3:$O$200,8,),IF(C159="blanco",VLOOKUP(B159,'Base perfiles'!$A$3:$O$200,7),IF(C159="ANODIZADO",VLOOKUP(B159,'Base perfiles'!$A$3:$O$200,6)))))</f>
        <v/>
      </c>
      <c r="H159">
        <f>IF(G159="","",D159*E159/VLOOKUP(B159,'Base perfiles'!$A$3:$O$200,3,)*G159*(1-F159)*1.105)</f>
        <v/>
      </c>
      <c r="N159" s="36" t="n"/>
      <c r="O159" s="29" t="n"/>
      <c r="P159" s="36" t="n"/>
      <c r="Q159" s="37" t="n"/>
      <c r="R159" s="38" t="n">
        <v>0.1</v>
      </c>
      <c r="S159" s="32">
        <f>IF(N159="","",IF(O159="negro",VLOOKUP(N159,'Base perfiles'!$A$3:$O$200,8,),IF(O159="blanco",VLOOKUP(N159,'Base perfiles'!$A$3:$O$200,7),IF(O159="ANODIZADO",VLOOKUP(N159,'Base perfiles'!$A$3:$O$200,6)))))</f>
        <v/>
      </c>
      <c r="T159" s="33">
        <f>IF(S159="","",P159*Q159/VLOOKUP(N159,'Base perfiles'!$A$3:$O$200,3,)*S159*(1-R159)*1.105)</f>
        <v/>
      </c>
    </row>
    <row r="160">
      <c r="G160">
        <f>IF(B160="","",IF(C160="negro",VLOOKUP(B160,'Base perfiles'!$A$3:$O$200,8,),IF(C160="blanco",VLOOKUP(B160,'Base perfiles'!$A$3:$O$200,7),IF(C160="ANODIZADO",VLOOKUP(B160,'Base perfiles'!$A$3:$O$200,6)))))</f>
        <v/>
      </c>
      <c r="H160">
        <f>IF(G160="","",D160*E160/VLOOKUP(B160,'Base perfiles'!$A$3:$O$200,3,)*G160*(1-F160)*1.105)</f>
        <v/>
      </c>
      <c r="N160" s="36" t="n"/>
      <c r="O160" s="29" t="n"/>
      <c r="P160" s="36" t="n"/>
      <c r="Q160" s="37" t="n"/>
      <c r="R160" s="38" t="n">
        <v>0.1</v>
      </c>
      <c r="S160" s="32">
        <f>IF(N160="","",IF(O160="negro",VLOOKUP(N160,'Base perfiles'!$A$3:$O$200,8,),IF(O160="blanco",VLOOKUP(N160,'Base perfiles'!$A$3:$O$200,7),IF(O160="ANODIZADO",VLOOKUP(N160,'Base perfiles'!$A$3:$O$200,6)))))</f>
        <v/>
      </c>
      <c r="T160" s="33">
        <f>IF(S160="","",P160*Q160/VLOOKUP(N160,'Base perfiles'!$A$3:$O$200,3,)*S160*(1-R160)*1.105)</f>
        <v/>
      </c>
    </row>
    <row r="161">
      <c r="G161">
        <f>IF(B161="","",IF(C161="negro",VLOOKUP(B161,'Base perfiles'!$A$3:$O$200,8,),IF(C161="blanco",VLOOKUP(B161,'Base perfiles'!$A$3:$O$200,7),IF(C161="ANODIZADO",VLOOKUP(B161,'Base perfiles'!$A$3:$O$200,6)))))</f>
        <v/>
      </c>
      <c r="H161">
        <f>IF(G161="","",D161*E161/VLOOKUP(B161,'Base perfiles'!$A$3:$O$200,3,)*G161*(1-F161)*1.105)</f>
        <v/>
      </c>
      <c r="N161" s="36" t="n"/>
      <c r="O161" s="29" t="n"/>
      <c r="P161" s="36" t="n"/>
      <c r="Q161" s="37" t="n"/>
      <c r="R161" s="38" t="n">
        <v>0.1</v>
      </c>
      <c r="S161" s="32">
        <f>IF(N161="","",IF(O161="negro",VLOOKUP(N161,'Base perfiles'!$A$3:$O$200,8,),IF(O161="blanco",VLOOKUP(N161,'Base perfiles'!$A$3:$O$200,7),IF(O161="ANODIZADO",VLOOKUP(N161,'Base perfiles'!$A$3:$O$200,6)))))</f>
        <v/>
      </c>
      <c r="T161" s="33">
        <f>IF(S161="","",P161*Q161/VLOOKUP(N161,'Base perfiles'!$A$3:$O$200,3,)*S161*(1-R161)*1.105)</f>
        <v/>
      </c>
    </row>
    <row r="162">
      <c r="G162">
        <f>IF(B162="","",IF(C162="negro",VLOOKUP(B162,'Base perfiles'!$A$3:$O$200,8,),IF(C162="blanco",VLOOKUP(B162,'Base perfiles'!$A$3:$O$200,7),IF(C162="ANODIZADO",VLOOKUP(B162,'Base perfiles'!$A$3:$O$200,6)))))</f>
        <v/>
      </c>
      <c r="H162">
        <f>IF(G162="","",D162*E162/VLOOKUP(B162,'Base perfiles'!$A$3:$O$200,3,)*G162*(1-F162)*1.105)</f>
        <v/>
      </c>
      <c r="N162" s="36" t="n"/>
      <c r="O162" s="29" t="n"/>
      <c r="P162" s="36" t="n"/>
      <c r="Q162" s="37" t="n"/>
      <c r="R162" s="38" t="n">
        <v>0.1</v>
      </c>
      <c r="S162" s="32">
        <f>IF(N162="","",IF(O162="negro",VLOOKUP(N162,'Base perfiles'!$A$3:$O$200,8,),IF(O162="blanco",VLOOKUP(N162,'Base perfiles'!$A$3:$O$200,7),IF(O162="ANODIZADO",VLOOKUP(N162,'Base perfiles'!$A$3:$O$200,6)))))</f>
        <v/>
      </c>
      <c r="T162" s="33">
        <f>IF(S162="","",P162*Q162/VLOOKUP(N162,'Base perfiles'!$A$3:$O$200,3,)*S162*(1-R162)*1.105)</f>
        <v/>
      </c>
    </row>
    <row r="163">
      <c r="G163">
        <f>IF(B163="","",IF(C163="negro",VLOOKUP(B163,'Base perfiles'!$A$3:$O$200,8,),IF(C163="blanco",VLOOKUP(B163,'Base perfiles'!$A$3:$O$200,7),IF(C163="ANODIZADO",VLOOKUP(B163,'Base perfiles'!$A$3:$O$200,6)))))</f>
        <v/>
      </c>
      <c r="H163">
        <f>IF(G163="","",D163*E163/VLOOKUP(B163,'Base perfiles'!$A$3:$O$200,3,)*G163*(1-F163)*1.105)</f>
        <v/>
      </c>
      <c r="N163" s="36" t="n"/>
      <c r="O163" s="29" t="n"/>
      <c r="P163" s="36" t="n"/>
      <c r="Q163" s="37" t="n"/>
      <c r="R163" s="38" t="n">
        <v>0.1</v>
      </c>
      <c r="S163" s="32">
        <f>IF(N163="","",IF(O163="negro",VLOOKUP(N163,'Base perfiles'!$A$3:$O$200,8,),IF(O163="blanco",VLOOKUP(N163,'Base perfiles'!$A$3:$O$200,7),IF(O163="ANODIZADO",VLOOKUP(N163,'Base perfiles'!$A$3:$O$200,6)))))</f>
        <v/>
      </c>
      <c r="T163" s="33">
        <f>IF(S163="","",P163*Q163/VLOOKUP(N163,'Base perfiles'!$A$3:$O$200,3,)*S163*(1-R163)*1.105)</f>
        <v/>
      </c>
    </row>
    <row r="164">
      <c r="G164">
        <f>IF(B164="","",IF(C164="negro",VLOOKUP(B164,'Base perfiles'!$A$3:$O$200,8,),IF(C164="blanco",VLOOKUP(B164,'Base perfiles'!$A$3:$O$200,7),IF(C164="ANODIZADO",VLOOKUP(B164,'Base perfiles'!$A$3:$O$200,6)))))</f>
        <v/>
      </c>
      <c r="H164">
        <f>IF(G164="","",D164*E164/VLOOKUP(B164,'Base perfiles'!$A$3:$O$200,3,)*G164*(1-F164)*1.105)</f>
        <v/>
      </c>
      <c r="N164" s="36" t="n"/>
      <c r="O164" s="29" t="n"/>
      <c r="P164" s="36" t="n"/>
      <c r="Q164" s="37" t="n"/>
      <c r="R164" s="38" t="n">
        <v>0.1</v>
      </c>
      <c r="S164" s="32">
        <f>IF(N164="","",IF(O164="negro",VLOOKUP(N164,'Base perfiles'!$A$3:$O$200,8,),IF(O164="blanco",VLOOKUP(N164,'Base perfiles'!$A$3:$O$200,7),IF(O164="ANODIZADO",VLOOKUP(N164,'Base perfiles'!$A$3:$O$200,6)))))</f>
        <v/>
      </c>
      <c r="T164" s="33">
        <f>IF(S164="","",P164*Q164/VLOOKUP(N164,'Base perfiles'!$A$3:$O$200,3,)*S164*(1-R164)*1.105)</f>
        <v/>
      </c>
    </row>
    <row r="165">
      <c r="G165">
        <f>IF(B165="","",IF(C165="negro",VLOOKUP(B165,'Base perfiles'!$A$3:$O$200,8,),IF(C165="blanco",VLOOKUP(B165,'Base perfiles'!$A$3:$O$200,7),IF(C165="ANODIZADO",VLOOKUP(B165,'Base perfiles'!$A$3:$O$200,6)))))</f>
        <v/>
      </c>
      <c r="H165">
        <f>IF(G165="","",D165*E165/VLOOKUP(B165,'Base perfiles'!$A$3:$O$200,3,)*G165*(1-F165)*1.105)</f>
        <v/>
      </c>
      <c r="N165" s="36" t="n"/>
      <c r="O165" s="29" t="n"/>
      <c r="P165" s="36" t="n"/>
      <c r="Q165" s="37" t="n"/>
      <c r="R165" s="38" t="n">
        <v>0.1</v>
      </c>
      <c r="S165" s="32">
        <f>IF(N165="","",IF(O165="negro",VLOOKUP(N165,'Base perfiles'!$A$3:$O$200,8,),IF(O165="blanco",VLOOKUP(N165,'Base perfiles'!$A$3:$O$200,7),IF(O165="ANODIZADO",VLOOKUP(N165,'Base perfiles'!$A$3:$O$200,6)))))</f>
        <v/>
      </c>
      <c r="T165" s="33">
        <f>IF(S165="","",P165*Q165/VLOOKUP(N165,'Base perfiles'!$A$3:$O$200,3,)*S165*(1-R165)*1.105)</f>
        <v/>
      </c>
    </row>
    <row r="166">
      <c r="G166">
        <f>IF(B166="","",IF(C166="negro",VLOOKUP(B166,'Base perfiles'!$A$3:$O$200,8,),IF(C166="blanco",VLOOKUP(B166,'Base perfiles'!$A$3:$O$200,7),IF(C166="ANODIZADO",VLOOKUP(B166,'Base perfiles'!$A$3:$O$200,6)))))</f>
        <v/>
      </c>
      <c r="H166">
        <f>IF(G166="","",D166*E166/VLOOKUP(B166,'Base perfiles'!$A$3:$O$200,3,)*G166*(1-F166)*1.105)</f>
        <v/>
      </c>
      <c r="N166" s="36" t="n"/>
      <c r="O166" s="29" t="n"/>
      <c r="P166" s="36" t="n"/>
      <c r="Q166" s="37" t="n"/>
      <c r="R166" s="38" t="n">
        <v>0.1</v>
      </c>
      <c r="S166" s="32">
        <f>IF(N166="","",IF(O166="negro",VLOOKUP(N166,'Base perfiles'!$A$3:$O$200,8,),IF(O166="blanco",VLOOKUP(N166,'Base perfiles'!$A$3:$O$200,7),IF(O166="ANODIZADO",VLOOKUP(N166,'Base perfiles'!$A$3:$O$200,6)))))</f>
        <v/>
      </c>
      <c r="T166" s="33">
        <f>IF(S166="","",P166*Q166/VLOOKUP(N166,'Base perfiles'!$A$3:$O$200,3,)*S166*(1-R166)*1.105)</f>
        <v/>
      </c>
    </row>
    <row r="167">
      <c r="G167">
        <f>IF(B167="","",IF(C167="negro",VLOOKUP(B167,'Base perfiles'!$A$3:$O$200,8,),IF(C167="blanco",VLOOKUP(B167,'Base perfiles'!$A$3:$O$200,7),IF(C167="ANODIZADO",VLOOKUP(B167,'Base perfiles'!$A$3:$O$200,6)))))</f>
        <v/>
      </c>
      <c r="H167">
        <f>IF(G167="","",D167*E167/VLOOKUP(B167,'Base perfiles'!$A$3:$O$200,3,)*G167*(1-F167)*1.105)</f>
        <v/>
      </c>
      <c r="N167" s="36" t="n"/>
      <c r="O167" s="29" t="n"/>
      <c r="P167" s="36" t="n"/>
      <c r="Q167" s="37" t="n"/>
      <c r="R167" s="38" t="n">
        <v>0.1</v>
      </c>
      <c r="S167" s="32">
        <f>IF(N167="","",IF(O167="negro",VLOOKUP(N167,'Base perfiles'!$A$3:$O$200,8,),IF(O167="blanco",VLOOKUP(N167,'Base perfiles'!$A$3:$O$200,7),IF(O167="ANODIZADO",VLOOKUP(N167,'Base perfiles'!$A$3:$O$200,6)))))</f>
        <v/>
      </c>
      <c r="T167" s="33">
        <f>IF(S167="","",P167*Q167/VLOOKUP(N167,'Base perfiles'!$A$3:$O$200,3,)*S167*(1-R167)*1.105)</f>
        <v/>
      </c>
    </row>
    <row r="168">
      <c r="G168">
        <f>IF(B168="","",IF(C168="negro",VLOOKUP(B168,'Base perfiles'!$A$3:$O$200,8,),IF(C168="blanco",VLOOKUP(B168,'Base perfiles'!$A$3:$O$200,7),IF(C168="ANODIZADO",VLOOKUP(B168,'Base perfiles'!$A$3:$O$200,6)))))</f>
        <v/>
      </c>
      <c r="H168">
        <f>IF(G168="","",D168*E168/VLOOKUP(B168,'Base perfiles'!$A$3:$O$200,3,)*G168*(1-F168)*1.105)</f>
        <v/>
      </c>
      <c r="N168" s="36" t="n"/>
      <c r="O168" s="29" t="n"/>
      <c r="P168" s="36" t="n"/>
      <c r="Q168" s="37" t="n"/>
      <c r="R168" s="38" t="n">
        <v>0.1</v>
      </c>
      <c r="S168" s="32">
        <f>IF(N168="","",IF(O168="negro",VLOOKUP(N168,'Base perfiles'!$A$3:$O$200,8,),IF(O168="blanco",VLOOKUP(N168,'Base perfiles'!$A$3:$O$200,7),IF(O168="ANODIZADO",VLOOKUP(N168,'Base perfiles'!$A$3:$O$200,6)))))</f>
        <v/>
      </c>
      <c r="T168" s="33">
        <f>IF(S168="","",P168*Q168/VLOOKUP(N168,'Base perfiles'!$A$3:$O$200,3,)*S168*(1-R168)*1.105)</f>
        <v/>
      </c>
    </row>
    <row r="169">
      <c r="G169">
        <f>IF(B169="","",IF(C169="negro",VLOOKUP(B169,'Base perfiles'!$A$3:$O$200,8,),IF(C169="blanco",VLOOKUP(B169,'Base perfiles'!$A$3:$O$200,7),IF(C169="ANODIZADO",VLOOKUP(B169,'Base perfiles'!$A$3:$O$200,6)))))</f>
        <v/>
      </c>
      <c r="H169">
        <f>IF(G169="","",D169*E169/VLOOKUP(B169,'Base perfiles'!$A$3:$O$200,3,)*G169*(1-F169)*1.105)</f>
        <v/>
      </c>
      <c r="N169" s="36" t="n"/>
      <c r="O169" s="29" t="n"/>
      <c r="P169" s="36" t="n"/>
      <c r="Q169" s="37" t="n"/>
      <c r="R169" s="38" t="n">
        <v>0.1</v>
      </c>
      <c r="S169" s="32">
        <f>IF(N169="","",IF(O169="negro",VLOOKUP(N169,'Base perfiles'!$A$3:$O$200,8,),IF(O169="blanco",VLOOKUP(N169,'Base perfiles'!$A$3:$O$200,7),IF(O169="ANODIZADO",VLOOKUP(N169,'Base perfiles'!$A$3:$O$200,6)))))</f>
        <v/>
      </c>
      <c r="T169" s="33">
        <f>IF(S169="","",P169*Q169/VLOOKUP(N169,'Base perfiles'!$A$3:$O$200,3,)*S169*(1-R169)*1.105)</f>
        <v/>
      </c>
    </row>
    <row r="170">
      <c r="G170">
        <f>IF(B170="","",IF(C170="negro",VLOOKUP(B170,'Base perfiles'!$A$3:$O$200,8,),IF(C170="blanco",VLOOKUP(B170,'Base perfiles'!$A$3:$O$200,7),IF(C170="ANODIZADO",VLOOKUP(B170,'Base perfiles'!$A$3:$O$200,6)))))</f>
        <v/>
      </c>
      <c r="H170">
        <f>IF(G170="","",D170*E170/VLOOKUP(B170,'Base perfiles'!$A$3:$O$200,3,)*G170*(1-F170)*1.105)</f>
        <v/>
      </c>
      <c r="N170" s="36" t="n"/>
      <c r="O170" s="29" t="n"/>
      <c r="P170" s="36" t="n"/>
      <c r="Q170" s="37" t="n"/>
      <c r="R170" s="38" t="n">
        <v>0.1</v>
      </c>
      <c r="S170" s="32">
        <f>IF(N170="","",IF(O170="negro",VLOOKUP(N170,'Base perfiles'!$A$3:$O$200,8,),IF(O170="blanco",VLOOKUP(N170,'Base perfiles'!$A$3:$O$200,7),IF(O170="ANODIZADO",VLOOKUP(N170,'Base perfiles'!$A$3:$O$200,6)))))</f>
        <v/>
      </c>
      <c r="T170" s="33">
        <f>IF(S170="","",P170*Q170/VLOOKUP(N170,'Base perfiles'!$A$3:$O$200,3,)*S170*(1-R170)*1.105)</f>
        <v/>
      </c>
    </row>
    <row r="171">
      <c r="G171">
        <f>IF(B171="","",IF(C171="negro",VLOOKUP(B171,'Base perfiles'!$A$3:$O$200,8,),IF(C171="blanco",VLOOKUP(B171,'Base perfiles'!$A$3:$O$200,7),IF(C171="ANODIZADO",VLOOKUP(B171,'Base perfiles'!$A$3:$O$200,6)))))</f>
        <v/>
      </c>
      <c r="H171">
        <f>IF(G171="","",D171*E171/VLOOKUP(B171,'Base perfiles'!$A$3:$O$200,3,)*G171*(1-F171)*1.105)</f>
        <v/>
      </c>
      <c r="N171" s="36" t="n"/>
      <c r="O171" s="29" t="n"/>
      <c r="P171" s="36" t="n"/>
      <c r="Q171" s="37" t="n"/>
      <c r="R171" s="38" t="n">
        <v>0.1</v>
      </c>
      <c r="S171" s="32">
        <f>IF(N171="","",IF(O171="negro",VLOOKUP(N171,'Base perfiles'!$A$3:$O$200,8,),IF(O171="blanco",VLOOKUP(N171,'Base perfiles'!$A$3:$O$200,7),IF(O171="ANODIZADO",VLOOKUP(N171,'Base perfiles'!$A$3:$O$200,6)))))</f>
        <v/>
      </c>
      <c r="T171" s="33">
        <f>IF(S171="","",P171*Q171/VLOOKUP(N171,'Base perfiles'!$A$3:$O$200,3,)*S171*(1-R171)*1.105)</f>
        <v/>
      </c>
    </row>
    <row r="172">
      <c r="G172">
        <f>IF(B172="","",IF(C172="negro",VLOOKUP(B172,'Base perfiles'!$A$3:$O$200,8,),IF(C172="blanco",VLOOKUP(B172,'Base perfiles'!$A$3:$O$200,7),IF(C172="ANODIZADO",VLOOKUP(B172,'Base perfiles'!$A$3:$O$200,6)))))</f>
        <v/>
      </c>
      <c r="H172">
        <f>IF(G172="","",D172*E172/VLOOKUP(B172,'Base perfiles'!$A$3:$O$200,3,)*G172*(1-F172)*1.105)</f>
        <v/>
      </c>
      <c r="N172" s="36" t="n"/>
      <c r="O172" s="29" t="n"/>
      <c r="P172" s="36" t="n"/>
      <c r="Q172" s="37" t="n"/>
      <c r="R172" s="38" t="n">
        <v>0.1</v>
      </c>
      <c r="S172" s="32">
        <f>IF(N172="","",IF(O172="negro",VLOOKUP(N172,'Base perfiles'!$A$3:$O$200,8,),IF(O172="blanco",VLOOKUP(N172,'Base perfiles'!$A$3:$O$200,7),IF(O172="ANODIZADO",VLOOKUP(N172,'Base perfiles'!$A$3:$O$200,6)))))</f>
        <v/>
      </c>
      <c r="T172" s="33">
        <f>IF(S172="","",P172*Q172/VLOOKUP(N172,'Base perfiles'!$A$3:$O$200,3,)*S172*(1-R172)*1.105)</f>
        <v/>
      </c>
    </row>
    <row r="173">
      <c r="G173">
        <f>IF(B173="","",IF(C173="negro",VLOOKUP(B173,'Base perfiles'!$A$3:$O$200,8,),IF(C173="blanco",VLOOKUP(B173,'Base perfiles'!$A$3:$O$200,7),IF(C173="ANODIZADO",VLOOKUP(B173,'Base perfiles'!$A$3:$O$200,6)))))</f>
        <v/>
      </c>
      <c r="H173">
        <f>IF(G173="","",D173*E173/VLOOKUP(B173,'Base perfiles'!$A$3:$O$200,3,)*G173*(1-F173)*1.105)</f>
        <v/>
      </c>
      <c r="N173" s="36" t="n"/>
      <c r="O173" s="29" t="n"/>
      <c r="P173" s="36" t="n"/>
      <c r="Q173" s="37" t="n"/>
      <c r="R173" s="38" t="n">
        <v>0.1</v>
      </c>
      <c r="S173" s="32">
        <f>IF(N173="","",IF(O173="negro",VLOOKUP(N173,'Base perfiles'!$A$3:$O$200,8,),IF(O173="blanco",VLOOKUP(N173,'Base perfiles'!$A$3:$O$200,7),IF(O173="ANODIZADO",VLOOKUP(N173,'Base perfiles'!$A$3:$O$200,6)))))</f>
        <v/>
      </c>
      <c r="T173" s="33">
        <f>IF(S173="","",P173*Q173/VLOOKUP(N173,'Base perfiles'!$A$3:$O$200,3,)*S173*(1-R173)*1.105)</f>
        <v/>
      </c>
    </row>
    <row r="174">
      <c r="G174">
        <f>IF(B174="","",IF(C174="negro",VLOOKUP(B174,'Base perfiles'!$A$3:$O$200,8,),IF(C174="blanco",VLOOKUP(B174,'Base perfiles'!$A$3:$O$200,7),IF(C174="ANODIZADO",VLOOKUP(B174,'Base perfiles'!$A$3:$O$200,6)))))</f>
        <v/>
      </c>
      <c r="H174">
        <f>IF(G174="","",D174*E174/VLOOKUP(B174,'Base perfiles'!$A$3:$O$200,3,)*G174*(1-F174)*1.105)</f>
        <v/>
      </c>
      <c r="N174" s="36" t="n"/>
      <c r="O174" s="29" t="n"/>
      <c r="P174" s="36" t="n"/>
      <c r="Q174" s="37" t="n"/>
      <c r="R174" s="38" t="n">
        <v>0.1</v>
      </c>
      <c r="S174" s="32">
        <f>IF(N174="","",IF(O174="negro",VLOOKUP(N174,'Base perfiles'!$A$3:$O$200,8,),IF(O174="blanco",VLOOKUP(N174,'Base perfiles'!$A$3:$O$200,7),IF(O174="ANODIZADO",VLOOKUP(N174,'Base perfiles'!$A$3:$O$200,6)))))</f>
        <v/>
      </c>
      <c r="T174" s="33">
        <f>IF(S174="","",P174*Q174/VLOOKUP(N174,'Base perfiles'!$A$3:$O$200,3,)*S174*(1-R174)*1.105)</f>
        <v/>
      </c>
    </row>
    <row r="175">
      <c r="G175">
        <f>IF(B175="","",IF(C175="negro",VLOOKUP(B175,'Base perfiles'!$A$3:$O$200,8,),IF(C175="blanco",VLOOKUP(B175,'Base perfiles'!$A$3:$O$200,7),IF(C175="ANODIZADO",VLOOKUP(B175,'Base perfiles'!$A$3:$O$200,6)))))</f>
        <v/>
      </c>
      <c r="H175">
        <f>IF(G175="","",D175*E175/VLOOKUP(B175,'Base perfiles'!$A$3:$O$200,3,)*G175*(1-F175)*1.105)</f>
        <v/>
      </c>
      <c r="N175" s="36" t="n"/>
      <c r="O175" s="29" t="n"/>
      <c r="P175" s="36" t="n"/>
      <c r="Q175" s="37" t="n"/>
      <c r="R175" s="38" t="n">
        <v>0.1</v>
      </c>
      <c r="S175" s="32">
        <f>IF(N175="","",IF(O175="negro",VLOOKUP(N175,'Base perfiles'!$A$3:$O$200,8,),IF(O175="blanco",VLOOKUP(N175,'Base perfiles'!$A$3:$O$200,7),IF(O175="ANODIZADO",VLOOKUP(N175,'Base perfiles'!$A$3:$O$200,6)))))</f>
        <v/>
      </c>
      <c r="T175" s="33">
        <f>IF(S175="","",P175*Q175/VLOOKUP(N175,'Base perfiles'!$A$3:$O$200,3,)*S175*(1-R175)*1.105)</f>
        <v/>
      </c>
    </row>
    <row r="176">
      <c r="G176">
        <f>IF(B176="","",IF(C176="negro",VLOOKUP(B176,'Base perfiles'!$A$3:$O$200,8,),IF(C176="blanco",VLOOKUP(B176,'Base perfiles'!$A$3:$O$200,7),IF(C176="ANODIZADO",VLOOKUP(B176,'Base perfiles'!$A$3:$O$200,6)))))</f>
        <v/>
      </c>
      <c r="H176">
        <f>IF(G176="","",D176*E176/VLOOKUP(B176,'Base perfiles'!$A$3:$O$200,3,)*G176*(1-F176)*1.105)</f>
        <v/>
      </c>
      <c r="N176" s="36" t="n"/>
      <c r="O176" s="29" t="n"/>
      <c r="P176" s="36" t="n"/>
      <c r="Q176" s="37" t="n"/>
      <c r="R176" s="38" t="n">
        <v>0.1</v>
      </c>
      <c r="S176" s="32">
        <f>IF(N176="","",IF(O176="negro",VLOOKUP(N176,'Base perfiles'!$A$3:$O$200,8,),IF(O176="blanco",VLOOKUP(N176,'Base perfiles'!$A$3:$O$200,7),IF(O176="ANODIZADO",VLOOKUP(N176,'Base perfiles'!$A$3:$O$200,6)))))</f>
        <v/>
      </c>
      <c r="T176" s="33">
        <f>IF(S176="","",P176*Q176/VLOOKUP(N176,'Base perfiles'!$A$3:$O$200,3,)*S176*(1-R176)*1.105)</f>
        <v/>
      </c>
    </row>
    <row r="177">
      <c r="G177">
        <f>IF(B177="","",IF(C177="negro",VLOOKUP(B177,'Base perfiles'!$A$3:$O$200,8,),IF(C177="blanco",VLOOKUP(B177,'Base perfiles'!$A$3:$O$200,7),IF(C177="ANODIZADO",VLOOKUP(B177,'Base perfiles'!$A$3:$O$200,6)))))</f>
        <v/>
      </c>
      <c r="H177">
        <f>IF(G177="","",D177*E177/VLOOKUP(B177,'Base perfiles'!$A$3:$O$200,3,)*G177*(1-F177)*1.105)</f>
        <v/>
      </c>
      <c r="N177" s="36" t="n"/>
      <c r="O177" s="29" t="n"/>
      <c r="P177" s="36" t="n"/>
      <c r="Q177" s="37" t="n"/>
      <c r="R177" s="38" t="n">
        <v>0.1</v>
      </c>
      <c r="S177" s="32">
        <f>IF(N177="","",IF(O177="negro",VLOOKUP(N177,'Base perfiles'!$A$3:$O$200,8,),IF(O177="blanco",VLOOKUP(N177,'Base perfiles'!$A$3:$O$200,7),IF(O177="ANODIZADO",VLOOKUP(N177,'Base perfiles'!$A$3:$O$200,6)))))</f>
        <v/>
      </c>
      <c r="T177" s="33">
        <f>IF(S177="","",P177*Q177/VLOOKUP(N177,'Base perfiles'!$A$3:$O$200,3,)*S177*(1-R177)*1.105)</f>
        <v/>
      </c>
    </row>
    <row r="178">
      <c r="G178">
        <f>IF(B178="","",IF(C178="negro",VLOOKUP(B178,'Base perfiles'!$A$3:$O$200,8,),IF(C178="blanco",VLOOKUP(B178,'Base perfiles'!$A$3:$O$200,7),IF(C178="ANODIZADO",VLOOKUP(B178,'Base perfiles'!$A$3:$O$200,6)))))</f>
        <v/>
      </c>
      <c r="H178">
        <f>IF(G178="","",D178*E178/VLOOKUP(B178,'Base perfiles'!$A$3:$O$200,3,)*G178*(1-F178)*1.105)</f>
        <v/>
      </c>
      <c r="N178" s="36" t="n"/>
      <c r="O178" s="29" t="n"/>
      <c r="P178" s="36" t="n"/>
      <c r="Q178" s="37" t="n"/>
      <c r="R178" s="38" t="n">
        <v>0.1</v>
      </c>
      <c r="S178" s="32">
        <f>IF(N178="","",IF(O178="negro",VLOOKUP(N178,'Base perfiles'!$A$3:$O$200,8,),IF(O178="blanco",VLOOKUP(N178,'Base perfiles'!$A$3:$O$200,7),IF(O178="ANODIZADO",VLOOKUP(N178,'Base perfiles'!$A$3:$O$200,6)))))</f>
        <v/>
      </c>
      <c r="T178" s="33">
        <f>IF(S178="","",P178*Q178/VLOOKUP(N178,'Base perfiles'!$A$3:$O$200,3,)*S178*(1-R178)*1.105)</f>
        <v/>
      </c>
    </row>
    <row r="179">
      <c r="G179">
        <f>IF(B179="","",IF(C179="negro",VLOOKUP(B179,'Base perfiles'!$A$3:$O$200,8,),IF(C179="blanco",VLOOKUP(B179,'Base perfiles'!$A$3:$O$200,7),IF(C179="ANODIZADO",VLOOKUP(B179,'Base perfiles'!$A$3:$O$200,6)))))</f>
        <v/>
      </c>
      <c r="H179">
        <f>IF(G179="","",D179*E179/VLOOKUP(B179,'Base perfiles'!$A$3:$O$200,3,)*G179*(1-F179)*1.105)</f>
        <v/>
      </c>
      <c r="N179" s="36" t="n"/>
      <c r="O179" s="29" t="n"/>
      <c r="P179" s="36" t="n"/>
      <c r="Q179" s="37" t="n"/>
      <c r="R179" s="38" t="n">
        <v>0.1</v>
      </c>
      <c r="S179" s="32">
        <f>IF(N179="","",IF(O179="negro",VLOOKUP(N179,'Base perfiles'!$A$3:$O$200,8,),IF(O179="blanco",VLOOKUP(N179,'Base perfiles'!$A$3:$O$200,7),IF(O179="ANODIZADO",VLOOKUP(N179,'Base perfiles'!$A$3:$O$200,6)))))</f>
        <v/>
      </c>
      <c r="T179" s="33">
        <f>IF(S179="","",P179*Q179/VLOOKUP(N179,'Base perfiles'!$A$3:$O$200,3,)*S179*(1-R179)*1.105)</f>
        <v/>
      </c>
    </row>
  </sheetData>
  <dataValidations count="2">
    <dataValidation sqref="C4:C149 O4:O179" showDropDown="0" showInputMessage="0" showErrorMessage="1" allowBlank="1" type="list">
      <formula1>"Blanco,Negro,Anodizado"</formula1>
    </dataValidation>
    <dataValidation sqref="E4:G149 Q4:S179" showDropDown="1" showInputMessage="0" showErrorMessage="0" allowBlank="1" type="custom">
      <formula1>AND(ISNUMBER(E4),(NOT(OR(NOT(ISERROR(DATEVALUE(E4))), AND(ISNUMBER(E4), LEFT(CELL("format", E4))="D")))))</formula1>
    </dataValidation>
  </dataValidation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5.xml><?xml version="1.0" encoding="utf-8"?>
<worksheet xmlns="http://schemas.openxmlformats.org/spreadsheetml/2006/main">
  <sheetPr>
    <outlinePr summaryBelow="0" summaryRight="0"/>
    <pageSetUpPr/>
  </sheetPr>
  <dimension ref="A1:M46"/>
  <sheetViews>
    <sheetView workbookViewId="0">
      <pane ySplit="1" topLeftCell="A2" activePane="bottomLeft" state="frozen"/>
      <selection pane="bottomLeft" activeCell="B3" sqref="B3"/>
    </sheetView>
  </sheetViews>
  <sheetFormatPr baseColWidth="10" defaultColWidth="12.5703125" defaultRowHeight="15.75" customHeight="1"/>
  <sheetData>
    <row r="1">
      <c r="A1" s="1" t="inlineStr">
        <is>
          <t>CODIGO</t>
        </is>
      </c>
      <c r="B1" s="1" t="inlineStr">
        <is>
          <t>COLOR</t>
        </is>
      </c>
      <c r="C1" s="1" t="inlineStr">
        <is>
          <t>CANTIDAD</t>
        </is>
      </c>
      <c r="D1" s="2" t="inlineStr">
        <is>
          <t>BONIF.</t>
        </is>
      </c>
      <c r="E1" s="1" t="inlineStr">
        <is>
          <t>$/barra S/B</t>
        </is>
      </c>
      <c r="F1" s="1" t="inlineStr">
        <is>
          <t>TOTAL C 10,5 BONIF</t>
        </is>
      </c>
      <c r="G1" s="1" t="inlineStr">
        <is>
          <t>TOTAL S/IVA BONIF</t>
        </is>
      </c>
      <c r="H1" s="1" t="inlineStr">
        <is>
          <t>TOTAL C /IVA</t>
        </is>
      </c>
      <c r="K1" s="39" t="inlineStr">
        <is>
          <t>Total C/10,5%</t>
        </is>
      </c>
      <c r="L1" s="39" t="inlineStr">
        <is>
          <t>Total S/iva</t>
        </is>
      </c>
      <c r="M1" s="39" t="inlineStr">
        <is>
          <t>Total C/Iva</t>
        </is>
      </c>
    </row>
    <row r="2">
      <c r="A2" s="40" t="n">
        <v>200</v>
      </c>
      <c r="B2" s="40" t="inlineStr">
        <is>
          <t>Negro</t>
        </is>
      </c>
      <c r="C2" s="40" t="n">
        <v>0</v>
      </c>
      <c r="D2" s="41" t="n">
        <v>0.1</v>
      </c>
      <c r="E2" s="42">
        <f>IF(A2="","",IF(B2="Blanco",VLOOKUP(A2,'Base perfiles'!$A$3:$O$200,7,FALSE()),IF(B2="negro",VLOOKUP(A2,'Base perfiles'!$A$3:$O$200,8,FALSE()),IF(B2="anodizado",VLOOKUP(A2,'Base perfiles'!$A$3:$O$200,6,FALSE()),""))))</f>
        <v/>
      </c>
      <c r="F2" s="42">
        <f>IF(E2="","",C2*E2*(1-D2)*1.105)</f>
        <v/>
      </c>
      <c r="G2" s="42">
        <f>IF(F2="","",F2/1.105)</f>
        <v/>
      </c>
      <c r="H2" s="42">
        <f>IF(G2="","",G2*1.21)</f>
        <v/>
      </c>
      <c r="K2" s="10">
        <f>SUM(Tabla_2[TOTAL C 10,5 BONIF])</f>
        <v/>
      </c>
      <c r="L2" s="10">
        <f>SUM(Tabla_2[TOTAL S/IVA BONIF])</f>
        <v/>
      </c>
      <c r="M2" s="10">
        <f>SUM(Tabla_2[TOTAL C /IVA])</f>
        <v/>
      </c>
    </row>
    <row r="3">
      <c r="A3" s="40" t="n">
        <v>201</v>
      </c>
      <c r="B3" s="40" t="inlineStr">
        <is>
          <t>Negro</t>
        </is>
      </c>
      <c r="C3" s="40" t="n">
        <v>0</v>
      </c>
      <c r="D3" s="41" t="n">
        <v>0.1</v>
      </c>
      <c r="E3" s="42">
        <f>IF(A3="","",IF(B3="Blanco",VLOOKUP(A3,'Base perfiles'!$A$3:$O$200,7,FALSE()),IF(B3="negro",VLOOKUP(A3,'Base perfiles'!$A$3:$O$200,8,FALSE()),IF(B3="anodizado",VLOOKUP(A3,'Base perfiles'!$A$3:$O$200,6,FALSE()),""))))</f>
        <v/>
      </c>
      <c r="F3" s="42">
        <f>IF(E3="","",C3*E3*(1-D3)*1.105)</f>
        <v/>
      </c>
      <c r="G3" s="42">
        <f>IF(F3="","",F3/1.105)</f>
        <v/>
      </c>
      <c r="H3" s="42">
        <f>IF(G3="","",G3*1.21)</f>
        <v/>
      </c>
    </row>
    <row r="4">
      <c r="A4" s="40" t="n">
        <v>203</v>
      </c>
      <c r="B4" s="40" t="inlineStr">
        <is>
          <t>Negro</t>
        </is>
      </c>
      <c r="C4" s="40" t="n">
        <v>0</v>
      </c>
      <c r="D4" s="41" t="n">
        <v>0.1</v>
      </c>
      <c r="E4" s="42">
        <f>IF(A4="","",IF(B4="Blanco",VLOOKUP(A4,'Base perfiles'!$A$3:$O$200,7,FALSE()),IF(B4="negro",VLOOKUP(A4,'Base perfiles'!$A$3:$O$200,8,FALSE()),IF(B4="anodizado",VLOOKUP(A4,'Base perfiles'!$A$3:$O$200,6,FALSE()),""))))</f>
        <v/>
      </c>
      <c r="F4" s="42">
        <f>IF(E4="","",C4*E4*(1-D4)*1.105)</f>
        <v/>
      </c>
      <c r="G4" s="42">
        <f>IF(F4="","",F4/1.105)</f>
        <v/>
      </c>
      <c r="H4" s="42">
        <f>IF(G4="","",G4*1.21)</f>
        <v/>
      </c>
    </row>
    <row r="5">
      <c r="A5" s="40" t="n">
        <v>204</v>
      </c>
      <c r="B5" s="40" t="inlineStr">
        <is>
          <t>Negro</t>
        </is>
      </c>
      <c r="C5" s="40" t="n">
        <v>0</v>
      </c>
      <c r="D5" s="41" t="n">
        <v>0.1</v>
      </c>
      <c r="E5" s="42">
        <f>IF(A5="","",IF(B5="Blanco",VLOOKUP(A5,'Base perfiles'!$A$3:$O$200,7,FALSE()),IF(B5="negro",VLOOKUP(A5,'Base perfiles'!$A$3:$O$200,8,FALSE()),IF(B5="anodizado",VLOOKUP(A5,'Base perfiles'!$A$3:$O$200,6,FALSE()),""))))</f>
        <v/>
      </c>
      <c r="F5" s="42">
        <f>IF(E5="","",C5*E5*(1-D5)*1.105)</f>
        <v/>
      </c>
      <c r="G5" s="42">
        <f>IF(F5="","",F5/1.105)</f>
        <v/>
      </c>
      <c r="H5" s="42">
        <f>IF(G5="","",G5*1.21)</f>
        <v/>
      </c>
    </row>
    <row r="6">
      <c r="A6" s="40" t="n">
        <v>206</v>
      </c>
      <c r="B6" s="40" t="inlineStr">
        <is>
          <t>Negro</t>
        </is>
      </c>
      <c r="C6" s="40" t="n">
        <v>0</v>
      </c>
      <c r="D6" s="41" t="n">
        <v>0.1</v>
      </c>
      <c r="E6" s="42">
        <f>IF(A6="","",IF(B6="Blanco",VLOOKUP(A6,'Base perfiles'!$A$3:$O$200,7,FALSE()),IF(B6="negro",VLOOKUP(A6,'Base perfiles'!$A$3:$O$200,8,FALSE()),IF(B6="anodizado",VLOOKUP(A6,'Base perfiles'!$A$3:$O$200,6,FALSE()),""))))</f>
        <v/>
      </c>
      <c r="F6" s="42">
        <f>IF(E6="","",C6*E6*(1-D6)*1.105)</f>
        <v/>
      </c>
      <c r="G6" s="42">
        <f>IF(F6="","",F6/1.105)</f>
        <v/>
      </c>
      <c r="H6" s="42">
        <f>IF(G6="","",G6*1.21)</f>
        <v/>
      </c>
    </row>
    <row r="7">
      <c r="A7" s="40" t="n">
        <v>207</v>
      </c>
      <c r="B7" s="40" t="inlineStr">
        <is>
          <t>Negro</t>
        </is>
      </c>
      <c r="C7" s="40" t="n">
        <v>0</v>
      </c>
      <c r="D7" s="41" t="n">
        <v>0.1</v>
      </c>
      <c r="E7" s="42">
        <f>IF(A7="","",IF(B7="Blanco",VLOOKUP(A7,'Base perfiles'!$A$3:$O$200,7,FALSE()),IF(B7="negro",VLOOKUP(A7,'Base perfiles'!$A$3:$O$200,8,FALSE()),IF(B7="anodizado",VLOOKUP(A7,'Base perfiles'!$A$3:$O$200,6,FALSE()),""))))</f>
        <v/>
      </c>
      <c r="F7" s="42">
        <f>IF(E7="","",C7*E7*(1-D7)*1.105)</f>
        <v/>
      </c>
      <c r="G7" s="42">
        <f>IF(F7="","",F7/1.105)</f>
        <v/>
      </c>
      <c r="H7" s="42">
        <f>IF(G7="","",G7*1.21)</f>
        <v/>
      </c>
    </row>
    <row r="8">
      <c r="A8" s="40" t="n">
        <v>213</v>
      </c>
      <c r="B8" s="40" t="inlineStr">
        <is>
          <t>Negro</t>
        </is>
      </c>
      <c r="C8" s="40" t="n">
        <v>0</v>
      </c>
      <c r="D8" s="41" t="n">
        <v>0.1</v>
      </c>
      <c r="E8" s="42">
        <f>IF(A8="","",IF(B8="Blanco",VLOOKUP(A8,'Base perfiles'!$A$3:$O$200,7,FALSE()),IF(B8="negro",VLOOKUP(A8,'Base perfiles'!$A$3:$O$200,8,FALSE()),IF(B8="anodizado",VLOOKUP(A8,'Base perfiles'!$A$3:$O$200,6,FALSE()),""))))</f>
        <v/>
      </c>
      <c r="F8" s="42">
        <f>IF(E8="","",C8*E8*(1-D8)*1.105)</f>
        <v/>
      </c>
      <c r="G8" s="42">
        <f>IF(F8="","",F8/1.105)</f>
        <v/>
      </c>
      <c r="H8" s="42">
        <f>IF(G8="","",G8*1.21)</f>
        <v/>
      </c>
    </row>
    <row r="9">
      <c r="A9" s="40" t="n">
        <v>214</v>
      </c>
      <c r="B9" s="40" t="inlineStr">
        <is>
          <t>Negro</t>
        </is>
      </c>
      <c r="C9" s="40" t="n">
        <v>0</v>
      </c>
      <c r="D9" s="41" t="n">
        <v>0.1</v>
      </c>
      <c r="E9" s="42">
        <f>IF(A9="","",IF(B9="Blanco",VLOOKUP(A9,'Base perfiles'!$A$3:$O$200,7,FALSE()),IF(B9="negro",VLOOKUP(A9,'Base perfiles'!$A$3:$O$200,8,FALSE()),IF(B9="anodizado",VLOOKUP(A9,'Base perfiles'!$A$3:$O$200,6,FALSE()),""))))</f>
        <v/>
      </c>
      <c r="F9" s="42">
        <f>IF(E9="","",C9*E9*(1-D9)*1.105)</f>
        <v/>
      </c>
      <c r="G9" s="42">
        <f>IF(F9="","",F9/1.105)</f>
        <v/>
      </c>
      <c r="H9" s="42">
        <f>IF(G9="","",G9*1.21)</f>
        <v/>
      </c>
    </row>
    <row r="10">
      <c r="A10" s="40" t="n">
        <v>216</v>
      </c>
      <c r="B10" s="40" t="inlineStr">
        <is>
          <t>Negro</t>
        </is>
      </c>
      <c r="C10" s="40" t="n">
        <v>0</v>
      </c>
      <c r="D10" s="41" t="n">
        <v>0.1</v>
      </c>
      <c r="E10" s="42">
        <f>IF(A10="","",IF(B10="Blanco",VLOOKUP(A10,'Base perfiles'!$A$3:$O$200,7,FALSE()),IF(B10="negro",VLOOKUP(A10,'Base perfiles'!$A$3:$O$200,8,FALSE()),IF(B10="anodizado",VLOOKUP(A10,'Base perfiles'!$A$3:$O$200,6,FALSE()),""))))</f>
        <v/>
      </c>
      <c r="F10" s="42">
        <f>IF(E10="","",C10*E10*(1-D10)*1.105)</f>
        <v/>
      </c>
      <c r="G10" s="42">
        <f>IF(F10="","",F10/1.105)</f>
        <v/>
      </c>
      <c r="H10" s="42">
        <f>IF(G10="","",G10*1.21)</f>
        <v/>
      </c>
    </row>
    <row r="11">
      <c r="A11" s="40" t="n">
        <v>217</v>
      </c>
      <c r="B11" s="40" t="inlineStr">
        <is>
          <t>Negro</t>
        </is>
      </c>
      <c r="C11" s="40" t="n">
        <v>0</v>
      </c>
      <c r="D11" s="41" t="n">
        <v>0.1</v>
      </c>
      <c r="E11" s="42">
        <f>IF(A11="","",IF(B11="Blanco",VLOOKUP(A11,'Base perfiles'!$A$3:$O$200,7,FALSE()),IF(B11="negro",VLOOKUP(A11,'Base perfiles'!$A$3:$O$200,8,FALSE()),IF(B11="anodizado",VLOOKUP(A11,'Base perfiles'!$A$3:$O$200,6,FALSE()),""))))</f>
        <v/>
      </c>
      <c r="F11" s="42">
        <f>IF(E11="","",C11*E11*(1-D11)*1.105)</f>
        <v/>
      </c>
      <c r="G11" s="42">
        <f>IF(F11="","",F11/1.105)</f>
        <v/>
      </c>
      <c r="H11" s="42">
        <f>IF(G11="","",G11*1.21)</f>
        <v/>
      </c>
    </row>
    <row r="12">
      <c r="A12" s="40" t="n">
        <v>219</v>
      </c>
      <c r="B12" s="40" t="inlineStr">
        <is>
          <t>Negro</t>
        </is>
      </c>
      <c r="C12" s="40" t="n">
        <v>0</v>
      </c>
      <c r="D12" s="41" t="n">
        <v>0.1</v>
      </c>
      <c r="E12" s="42">
        <f>IF(A12="","",IF(B12="Blanco",VLOOKUP(A12,'Base perfiles'!$A$3:$O$200,7,FALSE()),IF(B12="negro",VLOOKUP(A12,'Base perfiles'!$A$3:$O$200,8,FALSE()),IF(B12="anodizado",VLOOKUP(A12,'Base perfiles'!$A$3:$O$200,6,FALSE()),""))))</f>
        <v/>
      </c>
      <c r="F12" s="42">
        <f>IF(E12="","",C12*E12*(1-D12)*1.105)</f>
        <v/>
      </c>
      <c r="G12" s="42">
        <f>IF(F12="","",F12/1.105)</f>
        <v/>
      </c>
      <c r="H12" s="42">
        <f>IF(G12="","",G12*1.21)</f>
        <v/>
      </c>
    </row>
    <row r="13">
      <c r="A13" s="40" t="n">
        <v>230</v>
      </c>
      <c r="B13" s="40" t="inlineStr">
        <is>
          <t>Negro</t>
        </is>
      </c>
      <c r="C13" s="40" t="n">
        <v>0</v>
      </c>
      <c r="D13" s="41" t="n">
        <v>0.1</v>
      </c>
      <c r="E13" s="42">
        <f>IF(A13="","",IF(B13="Blanco",VLOOKUP(A13,'Base perfiles'!$A$3:$O$200,7,FALSE()),IF(B13="negro",VLOOKUP(A13,'Base perfiles'!$A$3:$O$200,8,FALSE()),IF(B13="anodizado",VLOOKUP(A13,'Base perfiles'!$A$3:$O$200,6,FALSE()),""))))</f>
        <v/>
      </c>
      <c r="F13" s="42">
        <f>IF(E13="","",C13*E13*(1-D13)*1.105)</f>
        <v/>
      </c>
      <c r="G13" s="42">
        <f>IF(F13="","",F13/1.105)</f>
        <v/>
      </c>
      <c r="H13" s="42">
        <f>IF(G13="","",G13*1.21)</f>
        <v/>
      </c>
    </row>
    <row r="14">
      <c r="A14" s="40" t="n">
        <v>231</v>
      </c>
      <c r="B14" s="40" t="inlineStr">
        <is>
          <t>Negro</t>
        </is>
      </c>
      <c r="C14" s="40" t="n">
        <v>0</v>
      </c>
      <c r="D14" s="41" t="n">
        <v>0.1</v>
      </c>
      <c r="E14" s="42">
        <f>IF(A14="","",IF(B14="Blanco",VLOOKUP(A14,'Base perfiles'!$A$3:$O$200,7,FALSE()),IF(B14="negro",VLOOKUP(A14,'Base perfiles'!$A$3:$O$200,8,FALSE()),IF(B14="anodizado",VLOOKUP(A14,'Base perfiles'!$A$3:$O$200,6,FALSE()),""))))</f>
        <v/>
      </c>
      <c r="F14" s="42">
        <f>IF(E14="","",C14*E14*(1-D14)*1.105)</f>
        <v/>
      </c>
      <c r="G14" s="42">
        <f>IF(F14="","",F14/1.105)</f>
        <v/>
      </c>
      <c r="H14" s="42">
        <f>IF(G14="","",G14*1.21)</f>
        <v/>
      </c>
    </row>
    <row r="15">
      <c r="A15" s="40" t="n">
        <v>236</v>
      </c>
      <c r="B15" s="40" t="inlineStr">
        <is>
          <t>Negro</t>
        </is>
      </c>
      <c r="C15" s="40" t="n">
        <v>0</v>
      </c>
      <c r="D15" s="41" t="n">
        <v>0.1</v>
      </c>
      <c r="E15" s="42">
        <f>IF(A15="","",IF(B15="Blanco",VLOOKUP(A15,'Base perfiles'!$A$3:$O$200,7,FALSE()),IF(B15="negro",VLOOKUP(A15,'Base perfiles'!$A$3:$O$200,8,FALSE()),IF(B15="anodizado",VLOOKUP(A15,'Base perfiles'!$A$3:$O$200,6,FALSE()),""))))</f>
        <v/>
      </c>
      <c r="F15" s="42">
        <f>IF(E15="","",C15*E15*(1-D15)*1.105)</f>
        <v/>
      </c>
      <c r="G15" s="42">
        <f>IF(F15="","",F15/1.105)</f>
        <v/>
      </c>
      <c r="H15" s="42">
        <f>IF(G15="","",G15*1.21)</f>
        <v/>
      </c>
    </row>
    <row r="16">
      <c r="A16" s="40" t="n">
        <v>237</v>
      </c>
      <c r="B16" s="40" t="inlineStr">
        <is>
          <t>Negro</t>
        </is>
      </c>
      <c r="C16" s="40" t="n">
        <v>0</v>
      </c>
      <c r="D16" s="41" t="n">
        <v>0.1</v>
      </c>
      <c r="E16" s="42">
        <f>IF(A16="","",IF(B16="Blanco",VLOOKUP(A16,'Base perfiles'!$A$3:$O$200,7,FALSE()),IF(B16="negro",VLOOKUP(A16,'Base perfiles'!$A$3:$O$200,8,FALSE()),IF(B16="anodizado",VLOOKUP(A16,'Base perfiles'!$A$3:$O$200,6,FALSE()),""))))</f>
        <v/>
      </c>
      <c r="F16" s="42">
        <f>IF(E16="","",C16*E16*(1-D16)*1.105)</f>
        <v/>
      </c>
      <c r="G16" s="42">
        <f>IF(F16="","",F16/1.105)</f>
        <v/>
      </c>
      <c r="H16" s="42">
        <f>IF(G16="","",G16*1.21)</f>
        <v/>
      </c>
    </row>
    <row r="17">
      <c r="A17" s="40" t="n">
        <v>248</v>
      </c>
      <c r="B17" s="40" t="inlineStr">
        <is>
          <t>Negro</t>
        </is>
      </c>
      <c r="C17" s="40" t="n">
        <v>0</v>
      </c>
      <c r="D17" s="41" t="n">
        <v>0.1</v>
      </c>
      <c r="E17" s="42">
        <f>IF(A17="","",IF(B17="Blanco",VLOOKUP(A17,'Base perfiles'!$A$3:$O$200,7,FALSE()),IF(B17="negro",VLOOKUP(A17,'Base perfiles'!$A$3:$O$200,8,FALSE()),IF(B17="anodizado",VLOOKUP(A17,'Base perfiles'!$A$3:$O$200,6,FALSE()),""))))</f>
        <v/>
      </c>
      <c r="F17" s="42">
        <f>IF(E17="","",C17*E17*(1-D17)*1.105)</f>
        <v/>
      </c>
      <c r="G17" s="42">
        <f>IF(F17="","",F17/1.105)</f>
        <v/>
      </c>
      <c r="H17" s="42">
        <f>IF(G17="","",G17*1.21)</f>
        <v/>
      </c>
    </row>
    <row r="18">
      <c r="A18" s="40" t="n">
        <v>249</v>
      </c>
      <c r="B18" s="40" t="inlineStr">
        <is>
          <t>Negro</t>
        </is>
      </c>
      <c r="C18" s="40" t="n">
        <v>0</v>
      </c>
      <c r="D18" s="41" t="n">
        <v>0.1</v>
      </c>
      <c r="E18" s="42">
        <f>IF(A18="","",IF(B18="Blanco",VLOOKUP(A18,'Base perfiles'!$A$3:$O$200,7,FALSE()),IF(B18="negro",VLOOKUP(A18,'Base perfiles'!$A$3:$O$200,8,FALSE()),IF(B18="anodizado",VLOOKUP(A18,'Base perfiles'!$A$3:$O$200,6,FALSE()),""))))</f>
        <v/>
      </c>
      <c r="F18" s="42">
        <f>IF(E18="","",C18*E18*(1-D18)*1.105)</f>
        <v/>
      </c>
      <c r="G18" s="42">
        <f>IF(F18="","",F18/1.105)</f>
        <v/>
      </c>
      <c r="H18" s="42">
        <f>IF(G18="","",G18*1.21)</f>
        <v/>
      </c>
    </row>
    <row r="19">
      <c r="A19" s="40" t="n">
        <v>250</v>
      </c>
      <c r="B19" s="40" t="inlineStr">
        <is>
          <t>Negro</t>
        </is>
      </c>
      <c r="C19" s="40" t="n">
        <v>0</v>
      </c>
      <c r="D19" s="41" t="n">
        <v>0.1</v>
      </c>
      <c r="E19" s="42">
        <f>IF(A19="","",IF(B19="Blanco",VLOOKUP(A19,'Base perfiles'!$A$3:$O$200,7,FALSE()),IF(B19="negro",VLOOKUP(A19,'Base perfiles'!$A$3:$O$200,8,FALSE()),IF(B19="anodizado",VLOOKUP(A19,'Base perfiles'!$A$3:$O$200,6,FALSE()),""))))</f>
        <v/>
      </c>
      <c r="F19" s="42">
        <f>IF(E19="","",C19*E19*(1-D19)*1.105)</f>
        <v/>
      </c>
      <c r="G19" s="42">
        <f>IF(F19="","",F19/1.105)</f>
        <v/>
      </c>
      <c r="H19" s="42">
        <f>IF(G19="","",G19*1.21)</f>
        <v/>
      </c>
    </row>
    <row r="20">
      <c r="A20" s="40" t="n">
        <v>6501</v>
      </c>
      <c r="B20" s="40" t="inlineStr">
        <is>
          <t>Negro</t>
        </is>
      </c>
      <c r="C20" s="40" t="n">
        <v>0</v>
      </c>
      <c r="D20" s="41" t="n">
        <v>0.1</v>
      </c>
      <c r="E20" s="42">
        <f>IF(A20="","",IF(B20="Blanco",VLOOKUP(A20,'Base perfiles'!$A$3:$O$200,7,FALSE()),IF(B20="negro",VLOOKUP(A20,'Base perfiles'!$A$3:$O$200,8,FALSE()),IF(B20="anodizado",VLOOKUP(A20,'Base perfiles'!$A$3:$O$200,6,FALSE()),""))))</f>
        <v/>
      </c>
      <c r="F20" s="42">
        <f>IF(E20="","",C20*E20*(1-D20)*1.105)</f>
        <v/>
      </c>
      <c r="G20" s="42">
        <f>IF(F20="","",F20/1.105)</f>
        <v/>
      </c>
      <c r="H20" s="42">
        <f>IF(G20="","",G20*1.21)</f>
        <v/>
      </c>
    </row>
    <row r="21">
      <c r="A21" s="40" t="n">
        <v>6502</v>
      </c>
      <c r="B21" s="40" t="inlineStr">
        <is>
          <t>Negro</t>
        </is>
      </c>
      <c r="C21" s="40" t="n">
        <v>0</v>
      </c>
      <c r="D21" s="41" t="n">
        <v>0.1</v>
      </c>
      <c r="E21" s="42">
        <f>IF(A21="","",IF(B21="Blanco",VLOOKUP(A21,'Base perfiles'!$A$3:$O$200,7,FALSE()),IF(B21="negro",VLOOKUP(A21,'Base perfiles'!$A$3:$O$200,8,FALSE()),IF(B21="anodizado",VLOOKUP(A21,'Base perfiles'!$A$3:$O$200,6,FALSE()),""))))</f>
        <v/>
      </c>
      <c r="F21" s="42">
        <f>IF(E21="","",C21*E21*(1-D21)*1.105)</f>
        <v/>
      </c>
      <c r="G21" s="42">
        <f>IF(F21="","",F21/1.105)</f>
        <v/>
      </c>
      <c r="H21" s="42">
        <f>IF(G21="","",G21*1.21)</f>
        <v/>
      </c>
    </row>
    <row r="22">
      <c r="A22" s="40" t="n">
        <v>6503</v>
      </c>
      <c r="B22" s="40" t="inlineStr">
        <is>
          <t>Negro</t>
        </is>
      </c>
      <c r="C22" s="40" t="n">
        <v>0</v>
      </c>
      <c r="D22" s="41" t="n">
        <v>0.1</v>
      </c>
      <c r="E22" s="42">
        <f>IF(A22="","",IF(B22="Blanco",VLOOKUP(A22,'Base perfiles'!$A$3:$O$200,7,FALSE()),IF(B22="negro",VLOOKUP(A22,'Base perfiles'!$A$3:$O$200,8,FALSE()),IF(B22="anodizado",VLOOKUP(A22,'Base perfiles'!$A$3:$O$200,6,FALSE()),""))))</f>
        <v/>
      </c>
      <c r="F22" s="42">
        <f>IF(E22="","",C22*E22*(1-D22)*1.105)</f>
        <v/>
      </c>
      <c r="G22" s="42">
        <f>IF(F22="","",F22/1.105)</f>
        <v/>
      </c>
      <c r="H22" s="42">
        <f>IF(G22="","",G22*1.21)</f>
        <v/>
      </c>
    </row>
    <row r="23">
      <c r="A23" s="40" t="n">
        <v>6504</v>
      </c>
      <c r="B23" s="40" t="inlineStr">
        <is>
          <t>Negro</t>
        </is>
      </c>
      <c r="C23" s="40" t="n">
        <v>0</v>
      </c>
      <c r="D23" s="41" t="n">
        <v>0.1</v>
      </c>
      <c r="E23" s="42">
        <f>IF(A23="","",IF(B23="Blanco",VLOOKUP(A23,'Base perfiles'!$A$3:$O$200,7,FALSE()),IF(B23="negro",VLOOKUP(A23,'Base perfiles'!$A$3:$O$200,8,FALSE()),IF(B23="anodizado",VLOOKUP(A23,'Base perfiles'!$A$3:$O$200,6,FALSE()),""))))</f>
        <v/>
      </c>
      <c r="F23" s="42">
        <f>IF(E23="","",C23*E23*(1-D23)*1.105)</f>
        <v/>
      </c>
      <c r="G23" s="42">
        <f>IF(F23="","",F23/1.105)</f>
        <v/>
      </c>
      <c r="H23" s="42">
        <f>IF(G23="","",G23*1.21)</f>
        <v/>
      </c>
    </row>
    <row r="24">
      <c r="A24" s="40" t="n">
        <v>6508</v>
      </c>
      <c r="B24" s="40" t="inlineStr">
        <is>
          <t>Negro</t>
        </is>
      </c>
      <c r="C24" s="40" t="n">
        <v>0</v>
      </c>
      <c r="D24" s="41" t="n">
        <v>0.1</v>
      </c>
      <c r="E24" s="42">
        <f>IF(A24="","",IF(B24="Blanco",VLOOKUP(A24,'Base perfiles'!$A$3:$O$200,7,FALSE()),IF(B24="negro",VLOOKUP(A24,'Base perfiles'!$A$3:$O$200,8,FALSE()),IF(B24="anodizado",VLOOKUP(A24,'Base perfiles'!$A$3:$O$200,6,FALSE()),""))))</f>
        <v/>
      </c>
      <c r="F24" s="42">
        <f>IF(E24="","",C24*E24*(1-D24)*1.105)</f>
        <v/>
      </c>
      <c r="G24" s="42">
        <f>IF(F24="","",F24/1.105)</f>
        <v/>
      </c>
      <c r="H24" s="42">
        <f>IF(G24="","",G24*1.21)</f>
        <v/>
      </c>
    </row>
    <row r="25">
      <c r="A25" s="40" t="n">
        <v>6511</v>
      </c>
      <c r="B25" s="40" t="inlineStr">
        <is>
          <t>Negro</t>
        </is>
      </c>
      <c r="C25" s="40" t="n">
        <v>0</v>
      </c>
      <c r="D25" s="41" t="n">
        <v>0.1</v>
      </c>
      <c r="E25" s="42">
        <f>IF(A25="","",IF(B25="Blanco",VLOOKUP(A25,'Base perfiles'!$A$3:$O$200,7,FALSE()),IF(B25="negro",VLOOKUP(A25,'Base perfiles'!$A$3:$O$200,8,FALSE()),IF(B25="anodizado",VLOOKUP(A25,'Base perfiles'!$A$3:$O$200,6,FALSE()),""))))</f>
        <v/>
      </c>
      <c r="F25" s="42">
        <f>IF(E25="","",C25*E25*(1-D25)*1.105)</f>
        <v/>
      </c>
      <c r="G25" s="42">
        <f>IF(F25="","",F25/1.105)</f>
        <v/>
      </c>
      <c r="H25" s="42">
        <f>IF(G25="","",G25*1.21)</f>
        <v/>
      </c>
    </row>
    <row r="26">
      <c r="A26" s="40" t="n">
        <v>6512</v>
      </c>
      <c r="B26" s="40" t="inlineStr">
        <is>
          <t>Negro</t>
        </is>
      </c>
      <c r="C26" s="40" t="n">
        <v>0</v>
      </c>
      <c r="D26" s="41" t="n">
        <v>0.1</v>
      </c>
      <c r="E26" s="42">
        <f>IF(A26="","",IF(B26="Blanco",VLOOKUP(A26,'Base perfiles'!$A$3:$O$200,7,FALSE()),IF(B26="negro",VLOOKUP(A26,'Base perfiles'!$A$3:$O$200,8,FALSE()),IF(B26="anodizado",VLOOKUP(A26,'Base perfiles'!$A$3:$O$200,6,FALSE()),""))))</f>
        <v/>
      </c>
      <c r="F26" s="42">
        <f>IF(E26="","",C26*E26*(1-D26)*1.105)</f>
        <v/>
      </c>
      <c r="G26" s="42">
        <f>IF(F26="","",F26/1.105)</f>
        <v/>
      </c>
      <c r="H26" s="42">
        <f>IF(G26="","",G26*1.21)</f>
        <v/>
      </c>
    </row>
    <row r="27">
      <c r="A27" s="40" t="n">
        <v>6513</v>
      </c>
      <c r="B27" s="40" t="inlineStr">
        <is>
          <t>Negro</t>
        </is>
      </c>
      <c r="C27" s="40" t="n">
        <v>0</v>
      </c>
      <c r="D27" s="41" t="n">
        <v>0.1</v>
      </c>
      <c r="E27" s="42">
        <f>IF(A27="","",IF(B27="Blanco",VLOOKUP(A27,'Base perfiles'!$A$3:$O$200,7,FALSE()),IF(B27="negro",VLOOKUP(A27,'Base perfiles'!$A$3:$O$200,8,FALSE()),IF(B27="anodizado",VLOOKUP(A27,'Base perfiles'!$A$3:$O$200,6,FALSE()),""))))</f>
        <v/>
      </c>
      <c r="F27" s="42">
        <f>IF(E27="","",C27*E27*(1-D27)*1.105)</f>
        <v/>
      </c>
      <c r="G27" s="42">
        <f>IF(F27="","",F27/1.105)</f>
        <v/>
      </c>
      <c r="H27" s="42">
        <f>IF(G27="","",G27*1.21)</f>
        <v/>
      </c>
    </row>
    <row r="28">
      <c r="A28" s="40" t="n">
        <v>6514</v>
      </c>
      <c r="B28" s="40" t="inlineStr">
        <is>
          <t>Negro</t>
        </is>
      </c>
      <c r="C28" s="40" t="n">
        <v>0</v>
      </c>
      <c r="D28" s="41" t="n">
        <v>0.1</v>
      </c>
      <c r="E28" s="42">
        <f>IF(A28="","",IF(B28="Blanco",VLOOKUP(A28,'Base perfiles'!$A$3:$O$200,7,FALSE()),IF(B28="negro",VLOOKUP(A28,'Base perfiles'!$A$3:$O$200,8,FALSE()),IF(B28="anodizado",VLOOKUP(A28,'Base perfiles'!$A$3:$O$200,6,FALSE()),""))))</f>
        <v/>
      </c>
      <c r="F28" s="42">
        <f>IF(E28="","",C28*E28*(1-D28)*1.105)</f>
        <v/>
      </c>
      <c r="G28" s="42">
        <f>IF(F28="","",F28/1.105)</f>
        <v/>
      </c>
      <c r="H28" s="42">
        <f>IF(G28="","",G28*1.21)</f>
        <v/>
      </c>
    </row>
    <row r="29">
      <c r="A29" s="40" t="n"/>
      <c r="B29" s="40" t="n"/>
      <c r="C29" s="40" t="n"/>
      <c r="D29" s="41" t="n">
        <v>0.1</v>
      </c>
      <c r="E29" s="40">
        <f>IF(A29="","",IF(B29="Blanco",VLOOKUP(A29,'Base perfiles'!$A$3:$O$200,7,FALSE()),IF(B29="negro",VLOOKUP(A29,'Base perfiles'!$A$3:$O$200,8,FALSE()),IF(B29="anodizado",VLOOKUP(A29,'Base perfiles'!$A$3:$O$200,6,FALSE()),""))))</f>
        <v/>
      </c>
      <c r="F29" s="40">
        <f>IF(E29="","",C29*E29*(1-D29)*1.105)</f>
        <v/>
      </c>
      <c r="G29" s="40">
        <f>IF(F29="","",F29/1.105)</f>
        <v/>
      </c>
      <c r="H29" s="40">
        <f>IF(G29="","",G29*1.21)</f>
        <v/>
      </c>
    </row>
    <row r="30">
      <c r="A30" s="40" t="n"/>
      <c r="B30" s="40" t="n"/>
      <c r="C30" s="40" t="n"/>
      <c r="D30" s="41" t="n">
        <v>0.1</v>
      </c>
      <c r="E30" s="40">
        <f>IF(A30="","",IF(B30="Blanco",VLOOKUP(A30,'Base perfiles'!$A$3:$O$200,7,FALSE()),IF(B30="negro",VLOOKUP(A30,'Base perfiles'!$A$3:$O$200,8,FALSE()),IF(B30="anodizado",VLOOKUP(A30,'Base perfiles'!$A$3:$O$200,6,FALSE()),""))))</f>
        <v/>
      </c>
      <c r="F30" s="40">
        <f>IF(E30="","",C30*E30*(1-D30)*1.105)</f>
        <v/>
      </c>
      <c r="G30" s="40">
        <f>IF(F30="","",F30/1.105)</f>
        <v/>
      </c>
      <c r="H30" s="40">
        <f>IF(G30="","",G30*1.21)</f>
        <v/>
      </c>
    </row>
    <row r="31">
      <c r="A31" s="40" t="n"/>
      <c r="B31" s="40" t="n"/>
      <c r="C31" s="40" t="n"/>
      <c r="D31" s="41" t="n">
        <v>0.1</v>
      </c>
      <c r="E31" s="40">
        <f>IF(A31="","",IF(B31="Blanco",VLOOKUP(A31,'Base perfiles'!$A$3:$O$200,7,FALSE()),IF(B31="negro",VLOOKUP(A31,'Base perfiles'!$A$3:$O$200,8,FALSE()),IF(B31="anodizado",VLOOKUP(A31,'Base perfiles'!$A$3:$O$200,6,FALSE()),""))))</f>
        <v/>
      </c>
      <c r="F31" s="40">
        <f>IF(E31="","",C31*E31*(1-D31)*1.105)</f>
        <v/>
      </c>
      <c r="G31" s="40">
        <f>IF(F31="","",F31/1.105)</f>
        <v/>
      </c>
      <c r="H31" s="40">
        <f>IF(G31="","",G31*1.21)</f>
        <v/>
      </c>
    </row>
    <row r="32">
      <c r="A32" s="40" t="n"/>
      <c r="B32" s="40" t="n"/>
      <c r="C32" s="40" t="n"/>
      <c r="D32" s="41" t="n">
        <v>0.1</v>
      </c>
      <c r="E32" s="40">
        <f>IF(A32="","",IF(B32="Blanco",VLOOKUP(A32,'Base perfiles'!$A$3:$O$200,7,FALSE()),IF(B32="negro",VLOOKUP(A32,'Base perfiles'!$A$3:$O$200,8,FALSE()),IF(B32="anodizado",VLOOKUP(A32,'Base perfiles'!$A$3:$O$200,6,FALSE()),""))))</f>
        <v/>
      </c>
      <c r="F32" s="40">
        <f>IF(E32="","",C32*E32*(1-D32)*1.105)</f>
        <v/>
      </c>
      <c r="G32" s="40">
        <f>IF(F32="","",F32/1.105)</f>
        <v/>
      </c>
      <c r="H32" s="40">
        <f>IF(G32="","",G32*1.21)</f>
        <v/>
      </c>
    </row>
    <row r="33">
      <c r="A33" s="40" t="n"/>
      <c r="B33" s="40" t="n"/>
      <c r="C33" s="40" t="n"/>
      <c r="D33" s="41" t="n">
        <v>0.1</v>
      </c>
      <c r="E33" s="40">
        <f>IF(A33="","",IF(B33="Blanco",VLOOKUP(A33,'Base perfiles'!$A$3:$O$200,7,FALSE()),IF(B33="negro",VLOOKUP(A33,'Base perfiles'!$A$3:$O$200,8,FALSE()),IF(B33="anodizado",VLOOKUP(A33,'Base perfiles'!$A$3:$O$200,6,FALSE()),""))))</f>
        <v/>
      </c>
      <c r="F33" s="40">
        <f>IF(E33="","",C33*E33*(1-D33)*1.105)</f>
        <v/>
      </c>
      <c r="G33" s="40">
        <f>IF(F33="","",F33/1.105)</f>
        <v/>
      </c>
      <c r="H33" s="40">
        <f>IF(G33="","",G33*1.21)</f>
        <v/>
      </c>
    </row>
    <row r="34">
      <c r="A34" s="40" t="n"/>
      <c r="B34" s="40" t="n"/>
      <c r="C34" s="40" t="n"/>
      <c r="D34" s="41" t="n">
        <v>0.1</v>
      </c>
      <c r="E34" s="40">
        <f>IF(A34="","",IF(B34="Blanco",VLOOKUP(A34,'Base perfiles'!$A$3:$O$200,7,FALSE()),IF(B34="negro",VLOOKUP(A34,'Base perfiles'!$A$3:$O$200,8,FALSE()),IF(B34="anodizado",VLOOKUP(A34,'Base perfiles'!$A$3:$O$200,6,FALSE()),""))))</f>
        <v/>
      </c>
      <c r="F34" s="40">
        <f>IF(E34="","",C34*E34*(1-D34)*1.105)</f>
        <v/>
      </c>
      <c r="G34" s="40">
        <f>IF(F34="","",F34/1.105)</f>
        <v/>
      </c>
      <c r="H34" s="40">
        <f>IF(G34="","",G34*1.21)</f>
        <v/>
      </c>
    </row>
    <row r="35">
      <c r="A35" s="40" t="n"/>
      <c r="B35" s="40" t="n"/>
      <c r="C35" s="40" t="n"/>
      <c r="D35" s="41" t="n">
        <v>0.1</v>
      </c>
      <c r="E35" s="40">
        <f>IF(A35="","",IF(B35="Blanco",VLOOKUP(A35,'Base perfiles'!$A$3:$O$200,7,FALSE()),IF(B35="negro",VLOOKUP(A35,'Base perfiles'!$A$3:$O$200,8,FALSE()),IF(B35="anodizado",VLOOKUP(A35,'Base perfiles'!$A$3:$O$200,6,FALSE()),""))))</f>
        <v/>
      </c>
      <c r="F35" s="40">
        <f>IF(E35="","",C35*E35*(1-D35)*1.105)</f>
        <v/>
      </c>
      <c r="G35" s="40">
        <f>IF(F35="","",F35/1.105)</f>
        <v/>
      </c>
      <c r="H35" s="40">
        <f>IF(G35="","",G35*1.21)</f>
        <v/>
      </c>
    </row>
    <row r="36">
      <c r="A36" s="40" t="n"/>
      <c r="B36" s="40" t="n"/>
      <c r="C36" s="40" t="n"/>
      <c r="D36" s="41" t="n">
        <v>0.1</v>
      </c>
      <c r="E36" s="40">
        <f>IF(A36="","",IF(B36="Blanco",VLOOKUP(A36,'Base perfiles'!$A$3:$O$200,7,FALSE()),IF(B36="negro",VLOOKUP(A36,'Base perfiles'!$A$3:$O$200,8,FALSE()),IF(B36="anodizado",VLOOKUP(A36,'Base perfiles'!$A$3:$O$200,6,FALSE()),""))))</f>
        <v/>
      </c>
      <c r="F36" s="40">
        <f>IF(E36="","",C36*E36*(1-D36)*1.105)</f>
        <v/>
      </c>
      <c r="G36" s="40">
        <f>IF(F36="","",F36/1.105)</f>
        <v/>
      </c>
      <c r="H36" s="40">
        <f>IF(G36="","",G36*1.21)</f>
        <v/>
      </c>
    </row>
    <row r="37">
      <c r="A37" s="40" t="n"/>
      <c r="B37" s="40" t="n"/>
      <c r="C37" s="40" t="n"/>
      <c r="D37" s="41" t="n">
        <v>0.1</v>
      </c>
      <c r="E37" s="40">
        <f>IF(A37="","",IF(B37="Blanco",VLOOKUP(A37,'Base perfiles'!$A$3:$O$200,7,FALSE()),IF(B37="negro",VLOOKUP(A37,'Base perfiles'!$A$3:$O$200,8,FALSE()),IF(B37="anodizado",VLOOKUP(A37,'Base perfiles'!$A$3:$O$200,6,FALSE()),""))))</f>
        <v/>
      </c>
      <c r="F37" s="40">
        <f>IF(E37="","",C37*E37*(1-D37)*1.105)</f>
        <v/>
      </c>
      <c r="G37" s="40">
        <f>IF(F37="","",F37/1.105)</f>
        <v/>
      </c>
      <c r="H37" s="40">
        <f>IF(G37="","",G37*1.21)</f>
        <v/>
      </c>
    </row>
    <row r="38">
      <c r="A38" s="40" t="n"/>
      <c r="B38" s="40" t="n"/>
      <c r="C38" s="40" t="n"/>
      <c r="D38" s="41" t="n">
        <v>0.1</v>
      </c>
      <c r="E38" s="40">
        <f>IF(A38="","",IF(B38="Blanco",VLOOKUP(A38,'Base perfiles'!$A$3:$O$200,7,FALSE()),IF(B38="negro",VLOOKUP(A38,'Base perfiles'!$A$3:$O$200,8,FALSE()),IF(B38="anodizado",VLOOKUP(A38,'Base perfiles'!$A$3:$O$200,6,FALSE()),""))))</f>
        <v/>
      </c>
      <c r="F38" s="40">
        <f>IF(E38="","",C38*E38*(1-D38)*1.105)</f>
        <v/>
      </c>
      <c r="G38" s="40">
        <f>IF(F38="","",F38/1.105)</f>
        <v/>
      </c>
      <c r="H38" s="40">
        <f>IF(G38="","",G38*1.21)</f>
        <v/>
      </c>
    </row>
    <row r="39">
      <c r="A39" s="40" t="n"/>
      <c r="B39" s="40" t="n"/>
      <c r="C39" s="40" t="n"/>
      <c r="D39" s="41" t="n">
        <v>0.1</v>
      </c>
      <c r="E39" s="40">
        <f>IF(A39="","",IF(B39="Blanco",VLOOKUP(A39,'Base perfiles'!$A$3:$O$200,7,FALSE()),IF(B39="negro",VLOOKUP(A39,'Base perfiles'!$A$3:$O$200,8,FALSE()),IF(B39="anodizado",VLOOKUP(A39,'Base perfiles'!$A$3:$O$200,6,FALSE()),""))))</f>
        <v/>
      </c>
      <c r="F39" s="40">
        <f>IF(E39="","",C39*E39*(1-D39)*1.105)</f>
        <v/>
      </c>
      <c r="G39" s="40">
        <f>IF(F39="","",F39/1.105)</f>
        <v/>
      </c>
      <c r="H39" s="40">
        <f>IF(G39="","",G39*1.21)</f>
        <v/>
      </c>
    </row>
    <row r="40">
      <c r="A40" s="40" t="n"/>
      <c r="B40" s="40" t="n"/>
      <c r="C40" s="40" t="n"/>
      <c r="D40" s="41" t="n">
        <v>0.1</v>
      </c>
      <c r="E40" s="40">
        <f>IF(A40="","",IF(B40="Blanco",VLOOKUP(A40,'Base perfiles'!$A$3:$O$200,7,FALSE()),IF(B40="negro",VLOOKUP(A40,'Base perfiles'!$A$3:$O$200,8,FALSE()),IF(B40="anodizado",VLOOKUP(A40,'Base perfiles'!$A$3:$O$200,6,FALSE()),""))))</f>
        <v/>
      </c>
      <c r="F40" s="40">
        <f>IF(E40="","",C40*E40*(1-D40)*1.105)</f>
        <v/>
      </c>
      <c r="G40" s="40">
        <f>IF(F40="","",F40/1.105)</f>
        <v/>
      </c>
      <c r="H40" s="40">
        <f>IF(G40="","",G40*1.21)</f>
        <v/>
      </c>
    </row>
    <row r="41">
      <c r="A41" s="40" t="n"/>
      <c r="B41" s="40" t="n"/>
      <c r="C41" s="40" t="n"/>
      <c r="D41" s="41" t="n">
        <v>0.1</v>
      </c>
      <c r="E41" s="40">
        <f>IF(A41="","",IF(B41="Blanco",VLOOKUP(A41,'Base perfiles'!$A$3:$O$200,7,FALSE()),IF(B41="negro",VLOOKUP(A41,'Base perfiles'!$A$3:$O$200,8,FALSE()),IF(B41="anodizado",VLOOKUP(A41,'Base perfiles'!$A$3:$O$200,6,FALSE()),""))))</f>
        <v/>
      </c>
      <c r="F41" s="40">
        <f>IF(E41="","",C41*E41*(1-D41)*1.105)</f>
        <v/>
      </c>
      <c r="G41" s="40">
        <f>IF(F41="","",F41/1.105)</f>
        <v/>
      </c>
      <c r="H41" s="40">
        <f>IF(G41="","",G41*1.21)</f>
        <v/>
      </c>
    </row>
    <row r="42">
      <c r="A42" s="40" t="n"/>
      <c r="B42" s="40" t="n"/>
      <c r="C42" s="40" t="n"/>
      <c r="D42" s="41" t="n">
        <v>0.1</v>
      </c>
      <c r="E42" s="40">
        <f>IF(A42="","",IF(B42="Blanco",VLOOKUP(A42,'Base perfiles'!$A$3:$O$200,7,FALSE()),IF(B42="negro",VLOOKUP(A42,'Base perfiles'!$A$3:$O$200,8,FALSE()),IF(B42="anodizado",VLOOKUP(A42,'Base perfiles'!$A$3:$O$200,6,FALSE()),""))))</f>
        <v/>
      </c>
      <c r="F42" s="40">
        <f>IF(E42="","",C42*E42*(1-D42)*1.105)</f>
        <v/>
      </c>
      <c r="G42" s="40">
        <f>IF(F42="","",F42/1.105)</f>
        <v/>
      </c>
      <c r="H42" s="40">
        <f>IF(G42="","",G42*1.21)</f>
        <v/>
      </c>
    </row>
    <row r="43">
      <c r="A43" s="40" t="n"/>
      <c r="B43" s="40" t="n"/>
      <c r="C43" s="40" t="n"/>
      <c r="D43" s="41" t="n">
        <v>0.1</v>
      </c>
      <c r="E43" s="40">
        <f>IF(A43="","",IF(B43="Blanco",VLOOKUP(A43,'Base perfiles'!$A$3:$O$200,7,FALSE()),IF(B43="negro",VLOOKUP(A43,'Base perfiles'!$A$3:$O$200,8,FALSE()),IF(B43="anodizado",VLOOKUP(A43,'Base perfiles'!$A$3:$O$200,6,FALSE()),""))))</f>
        <v/>
      </c>
      <c r="F43" s="40">
        <f>IF(E43="","",C43*E43*(1-D43)*1.105)</f>
        <v/>
      </c>
      <c r="G43" s="40">
        <f>IF(F43="","",F43/1.105)</f>
        <v/>
      </c>
      <c r="H43" s="40">
        <f>IF(G43="","",G43*1.21)</f>
        <v/>
      </c>
    </row>
    <row r="44">
      <c r="A44" s="40" t="n"/>
      <c r="B44" s="40" t="n"/>
      <c r="C44" s="40" t="n"/>
      <c r="D44" s="41" t="n">
        <v>0.1</v>
      </c>
      <c r="E44" s="40">
        <f>IF(A44="","",IF(B44="Blanco",VLOOKUP(A44,'Base perfiles'!$A$3:$O$200,7,FALSE()),IF(B44="negro",VLOOKUP(A44,'Base perfiles'!$A$3:$O$200,8,FALSE()),IF(B44="anodizado",VLOOKUP(A44,'Base perfiles'!$A$3:$O$200,6,FALSE()),""))))</f>
        <v/>
      </c>
      <c r="F44" s="40">
        <f>IF(E44="","",C44*E44*(1-D44)*1.105)</f>
        <v/>
      </c>
      <c r="G44" s="40">
        <f>IF(F44="","",F44/1.105)</f>
        <v/>
      </c>
      <c r="H44" s="40">
        <f>IF(G44="","",G44*1.21)</f>
        <v/>
      </c>
    </row>
    <row r="45">
      <c r="A45" s="40" t="n"/>
      <c r="B45" s="40" t="n"/>
      <c r="C45" s="40" t="n"/>
      <c r="D45" s="41" t="n">
        <v>0.1</v>
      </c>
      <c r="E45" s="40">
        <f>IF(A45="","",IF(B45="Blanco",VLOOKUP(A45,'Base perfiles'!$A$3:$O$200,7,FALSE()),IF(B45="negro",VLOOKUP(A45,'Base perfiles'!$A$3:$O$200,8,FALSE()),IF(B45="anodizado",VLOOKUP(A45,'Base perfiles'!$A$3:$O$200,6,FALSE()),""))))</f>
        <v/>
      </c>
      <c r="F45" s="40">
        <f>IF(E45="","",C45*E45*(1-D45)*1.105)</f>
        <v/>
      </c>
      <c r="G45" s="40">
        <f>IF(F45="","",F45/1.105)</f>
        <v/>
      </c>
      <c r="H45" s="40">
        <f>IF(G45="","",G45*1.21)</f>
        <v/>
      </c>
    </row>
    <row r="46">
      <c r="A46" s="40" t="n"/>
      <c r="B46" s="40" t="n"/>
      <c r="C46" s="40" t="n"/>
      <c r="D46" s="41" t="n">
        <v>0.1</v>
      </c>
      <c r="E46" s="40">
        <f>IF(A46="","",IF(B46="Blanco",VLOOKUP(A46,'Base perfiles'!$A$3:$O$200,7,FALSE()),IF(B46="negro",VLOOKUP(A46,'Base perfiles'!$A$3:$O$200,8,FALSE()),IF(B46="anodizado",VLOOKUP(A46,'Base perfiles'!$A$3:$O$200,6,FALSE()),""))))</f>
        <v/>
      </c>
      <c r="F46" s="40">
        <f>IF(E46="","",C46*E46*(1-D46)*1.105)</f>
        <v/>
      </c>
      <c r="G46" s="40">
        <f>IF(F46="","",F46/1.105)</f>
        <v/>
      </c>
      <c r="H46" s="40">
        <f>IF(G46="","",G46*1.21)</f>
        <v/>
      </c>
    </row>
  </sheetData>
  <dataValidations count="3">
    <dataValidation sqref="B2:B46" showDropDown="0" showInputMessage="0" showErrorMessage="1" allowBlank="1" type="list">
      <formula1>"Blanco,Negro,Anodizado"</formula1>
    </dataValidation>
    <dataValidation sqref="D2:D46" showDropDown="1" showInputMessage="0" showErrorMessage="0" allowBlank="1" type="custom">
      <formula1>AND(ISNUMBER(D2),(NOT(OR(NOT(ISERROR(DATEVALUE(D2))), AND(ISNUMBER(D2), LEFT(CELL("format", D2))="D")))))</formula1>
    </dataValidation>
    <dataValidation sqref="A2:A46" showDropDown="0" showInputMessage="0" showErrorMessage="0" allowBlank="1" type="list">
      <formula1>#REF!</formula1>
    </dataValidation>
  </dataValidation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xl/worksheets/sheet6.xml><?xml version="1.0" encoding="utf-8"?>
<worksheet xmlns="http://schemas.openxmlformats.org/spreadsheetml/2006/main">
  <sheetPr>
    <outlinePr summaryBelow="0" summaryRight="0"/>
    <pageSetUpPr/>
  </sheetPr>
  <dimension ref="A2:W30"/>
  <sheetViews>
    <sheetView workbookViewId="0">
      <selection activeCell="A1" sqref="A1"/>
    </sheetView>
  </sheetViews>
  <sheetFormatPr baseColWidth="10" defaultColWidth="12.5703125" defaultRowHeight="15.75" customHeight="1"/>
  <cols>
    <col width="8.140625" customWidth="1" style="49" min="1" max="1"/>
    <col width="16.140625" customWidth="1" style="49" min="2" max="3"/>
    <col width="9.85546875" customWidth="1" style="49" min="4" max="4"/>
    <col width="14.85546875" customWidth="1" style="49" min="5" max="6"/>
    <col width="15.140625" customWidth="1" style="49" min="7" max="7"/>
    <col width="15.42578125" customWidth="1" style="49" min="8" max="8"/>
    <col width="12.42578125" customWidth="1" style="49" min="9" max="10"/>
    <col width="12.85546875" customWidth="1" style="49" min="11" max="11"/>
    <col width="15.42578125" customWidth="1" style="49" min="22" max="22"/>
  </cols>
  <sheetData>
    <row r="2" ht="22.5" customHeight="1" s="49">
      <c r="A2" s="1" t="inlineStr">
        <is>
          <t>TIP.</t>
        </is>
      </c>
      <c r="B2" s="1" t="inlineStr">
        <is>
          <t>LADO1 VIDRIO</t>
        </is>
      </c>
      <c r="C2" s="1" t="inlineStr">
        <is>
          <t>LADO2 VIDRIO</t>
        </is>
      </c>
      <c r="D2" s="2" t="inlineStr">
        <is>
          <t>CANT.</t>
        </is>
      </c>
      <c r="E2" s="1" t="inlineStr">
        <is>
          <t>VIDRIO1</t>
        </is>
      </c>
      <c r="F2" s="1" t="inlineStr">
        <is>
          <t>VIDRIO2</t>
        </is>
      </c>
      <c r="G2" s="1" t="inlineStr">
        <is>
          <t>CAMARA</t>
        </is>
      </c>
      <c r="H2" s="2" t="inlineStr">
        <is>
          <t>VALVULA</t>
        </is>
      </c>
      <c r="I2" s="1" t="inlineStr">
        <is>
          <t>PER. (ML)</t>
        </is>
      </c>
      <c r="J2" s="1" t="inlineStr">
        <is>
          <t>SUP. (M2)</t>
        </is>
      </c>
      <c r="K2" s="1" t="inlineStr">
        <is>
          <t>$ VIDRIO1</t>
        </is>
      </c>
      <c r="L2" s="1" t="inlineStr">
        <is>
          <t>$ VIDRIO2</t>
        </is>
      </c>
      <c r="M2" s="1" t="inlineStr">
        <is>
          <t>$TOTAL CAMARA</t>
        </is>
      </c>
      <c r="N2" s="2" t="inlineStr">
        <is>
          <t>$TOTAL VA</t>
        </is>
      </c>
      <c r="O2" s="1" t="inlineStr">
        <is>
          <t>$TOTAL U</t>
        </is>
      </c>
      <c r="P2" s="43" t="inlineStr">
        <is>
          <t>$TOTAL</t>
        </is>
      </c>
      <c r="Q2" s="43" t="inlineStr">
        <is>
          <t>$V1SR</t>
        </is>
      </c>
      <c r="R2" s="43" t="inlineStr">
        <is>
          <t>$V2SR</t>
        </is>
      </c>
      <c r="S2" s="43" t="inlineStr">
        <is>
          <t>$TOTALSR</t>
        </is>
      </c>
      <c r="T2" s="43" t="inlineStr">
        <is>
          <t>DIF</t>
        </is>
      </c>
      <c r="V2" s="52" t="inlineStr">
        <is>
          <t>TOTAL</t>
        </is>
      </c>
      <c r="W2" s="10">
        <f>SUM(Calculadora_DVH[$TOTAL])</f>
        <v/>
      </c>
    </row>
    <row r="3" ht="22.5" customHeight="1" s="49">
      <c r="A3" s="4" t="inlineStr">
        <is>
          <t>V1</t>
        </is>
      </c>
      <c r="B3" s="4" t="n">
        <v>1135</v>
      </c>
      <c r="C3" s="4" t="n">
        <v>1535</v>
      </c>
      <c r="D3" s="4" t="n">
        <v>1</v>
      </c>
      <c r="E3" s="4" t="inlineStr">
        <is>
          <t>LAMIN3+3</t>
        </is>
      </c>
      <c r="F3" s="4" t="inlineStr">
        <is>
          <t>T4</t>
        </is>
      </c>
      <c r="G3" s="4" t="n">
        <v>12</v>
      </c>
      <c r="H3" s="4" t="inlineStr">
        <is>
          <t>NO</t>
        </is>
      </c>
      <c r="I3" s="44">
        <f>IF(AND(B3&lt;&gt;0,C3&lt;&gt;0),B3/1000*2+C3/1000*2,"")</f>
        <v/>
      </c>
      <c r="J3" s="44">
        <f>IF(OR(B3="",C3=""),"",IF((B3/1000*C3/1000)&gt;0.4,B3/1000*C3/1000,0.4))</f>
        <v/>
      </c>
      <c r="K3" s="45">
        <f>IF(OR(B3="",C3=""),"",VLOOKUP(E3,'Base vidrios'!$B$4:$C$16,2,FALSE())*J3)</f>
        <v/>
      </c>
      <c r="L3" s="45">
        <f>IF(OR(C3="",B3=""),"",VLOOKUP(F3,'Base vidrios'!$B$4:$C$14,2,FALSE())*J3)</f>
        <v/>
      </c>
      <c r="M3" s="45">
        <f>IF(I3="","",VLOOKUP(G3,'Base vidrios'!$E$4:$F$9,2,FALSE())*I3)</f>
        <v/>
      </c>
      <c r="N3" s="45">
        <f>IF(M3="","",VLOOKUP(H3,'Base vidrios'!$H$4:$I$5,2,FALSE()))</f>
        <v/>
      </c>
      <c r="O3" s="45">
        <f>IF(M3="","",SUM(K3:N3))</f>
        <v/>
      </c>
      <c r="P3" s="46">
        <f>IF(O3="","",O3*D3)</f>
        <v/>
      </c>
      <c r="Q3" s="44">
        <f>IF(OR($P3="",$J3&gt;0.4),"",VLOOKUP(E3,'Base vidrios'!$B$4:$C$13,2,FALSE())*$B3/1000*$C3/1000)</f>
        <v/>
      </c>
      <c r="R3" s="44">
        <f>IF(OR($P3="",$J3&gt;0.4),"",VLOOKUP(F3,'Base vidrios'!$B$4:$C$11,2,FALSE())*$B3/1000*$C3/1000)</f>
        <v/>
      </c>
      <c r="S3" s="44">
        <f>IF(R3="","",R3+Q3+M3)</f>
        <v/>
      </c>
      <c r="T3" s="4">
        <f>IF(S3="","",P3-S3*D3)</f>
        <v/>
      </c>
      <c r="V3" s="52" t="inlineStr">
        <is>
          <t>RECARGO</t>
        </is>
      </c>
      <c r="W3" s="10">
        <f>SUM(Calculadora_DVH[DIF])</f>
        <v/>
      </c>
    </row>
    <row r="4" ht="22.5" customHeight="1" s="49">
      <c r="A4" s="4" t="inlineStr">
        <is>
          <t>V2</t>
        </is>
      </c>
      <c r="B4" s="4" t="n">
        <v>1633</v>
      </c>
      <c r="C4" s="4" t="n">
        <v>1535</v>
      </c>
      <c r="D4" s="4" t="n">
        <v>1</v>
      </c>
      <c r="E4" s="4" t="inlineStr">
        <is>
          <t>LAMIN3+3</t>
        </is>
      </c>
      <c r="F4" s="4" t="inlineStr">
        <is>
          <t>T4</t>
        </is>
      </c>
      <c r="G4" s="4" t="n">
        <v>12</v>
      </c>
      <c r="H4" s="4" t="inlineStr">
        <is>
          <t>NO</t>
        </is>
      </c>
      <c r="I4" s="44">
        <f>IF(AND(B4&lt;&gt;0,C4&lt;&gt;0),B4/1000*2+C4/1000*2,"")</f>
        <v/>
      </c>
      <c r="J4" s="44">
        <f>IF(OR(B4="",C4=""),"",IF((B4/1000*C4/1000)&gt;0.4,B4/1000*C4/1000,0.4))</f>
        <v/>
      </c>
      <c r="K4" s="45">
        <f>IF(OR(B4="",C4=""),"",VLOOKUP(E4,'Base vidrios'!$B$4:$C$16,2,FALSE())*J4)</f>
        <v/>
      </c>
      <c r="L4" s="45">
        <f>IF(OR(C4="",B4=""),"",VLOOKUP(F4,'Base vidrios'!$B$4:$C$14,2,FALSE())*J4)</f>
        <v/>
      </c>
      <c r="M4" s="45">
        <f>IF(I4="","",VLOOKUP(G4,'Base vidrios'!$E$4:$F$9,2,FALSE())*I4)</f>
        <v/>
      </c>
      <c r="N4" s="45">
        <f>IF(M4="","",VLOOKUP(H4,'Base vidrios'!$H$4:$I$5,2,FALSE()))</f>
        <v/>
      </c>
      <c r="O4" s="45">
        <f>IF(M4="","",SUM(K4:N4))</f>
        <v/>
      </c>
      <c r="P4" s="46">
        <f>IF(O4="","",O4*D4)</f>
        <v/>
      </c>
      <c r="Q4" s="44">
        <f>IF(OR($P4="",$J4&gt;0.4),"",VLOOKUP(E4,'Base vidrios'!$B$4:$C$13,2,FALSE())*$B4/1000*$C4/1000)</f>
        <v/>
      </c>
      <c r="R4" s="44">
        <f>IF(OR($P4="",$J4&gt;0.4),"",VLOOKUP(F4,'Base vidrios'!$B$4:$C$11,2,FALSE())*$B4/1000*$C4/1000)</f>
        <v/>
      </c>
      <c r="S4" s="44">
        <f>IF(R4="","",R4+Q4+M4)</f>
        <v/>
      </c>
      <c r="T4" s="4">
        <f>IF(S4="","",P4-S4*D4)</f>
        <v/>
      </c>
    </row>
    <row r="5" ht="22.5" customHeight="1" s="49">
      <c r="A5" s="4" t="inlineStr">
        <is>
          <t>V2</t>
        </is>
      </c>
      <c r="B5" s="4" t="n">
        <v>364</v>
      </c>
      <c r="C5" s="4" t="n">
        <v>1466</v>
      </c>
      <c r="D5" s="4" t="n">
        <v>1</v>
      </c>
      <c r="E5" s="4" t="inlineStr">
        <is>
          <t>LAMIN3+3</t>
        </is>
      </c>
      <c r="F5" s="4" t="inlineStr">
        <is>
          <t>T4</t>
        </is>
      </c>
      <c r="G5" s="4" t="n">
        <v>12</v>
      </c>
      <c r="H5" s="4" t="inlineStr">
        <is>
          <t>NO</t>
        </is>
      </c>
      <c r="I5" s="44">
        <f>IF(AND(B5&lt;&gt;0,C5&lt;&gt;0),B5/1000*2+C5/1000*2,"")</f>
        <v/>
      </c>
      <c r="J5" s="44">
        <f>IF(OR(B5="",C5=""),"",IF((B5/1000*C5/1000)&gt;0.4,B5/1000*C5/1000,0.4))</f>
        <v/>
      </c>
      <c r="K5" s="45">
        <f>IF(OR(B5="",C5=""),"",VLOOKUP(E5,'Base vidrios'!$B$4:$C$16,2,FALSE())*J5)</f>
        <v/>
      </c>
      <c r="L5" s="45">
        <f>IF(OR(C5="",B5=""),"",VLOOKUP(F5,'Base vidrios'!$B$4:$C$14,2,FALSE())*J5)</f>
        <v/>
      </c>
      <c r="M5" s="45">
        <f>IF(I5="","",VLOOKUP(G5,'Base vidrios'!$E$4:$F$9,2,FALSE())*I5)</f>
        <v/>
      </c>
      <c r="N5" s="45">
        <f>IF(M5="","",VLOOKUP(H5,'Base vidrios'!$H$4:$I$5,2,FALSE()))</f>
        <v/>
      </c>
      <c r="O5" s="45">
        <f>IF(M5="","",SUM(K5:N5))</f>
        <v/>
      </c>
      <c r="P5" s="46">
        <f>IF(O5="","",O5*D5)</f>
        <v/>
      </c>
      <c r="Q5" s="44">
        <f>IF(OR($P5="",$J5&gt;0.4),"",VLOOKUP(E5,'Base vidrios'!$B$4:$C$13,2,FALSE())*$B5/1000*$C5/1000)</f>
        <v/>
      </c>
      <c r="R5" s="44">
        <f>IF(OR($P5="",$J5&gt;0.4),"",VLOOKUP(F5,'Base vidrios'!$B$4:$C$11,2,FALSE())*$B5/1000*$C5/1000)</f>
        <v/>
      </c>
      <c r="S5" s="44">
        <f>IF(R5="","",R5+Q5+M5)</f>
        <v/>
      </c>
      <c r="T5" s="4">
        <f>IF(S5="","",P5-S5*D5)</f>
        <v/>
      </c>
      <c r="V5" s="52" t="inlineStr">
        <is>
          <t>Precio 1</t>
        </is>
      </c>
      <c r="W5" s="52" t="n"/>
    </row>
    <row r="6" ht="22.5" customHeight="1" s="49">
      <c r="A6" s="4" t="inlineStr">
        <is>
          <t>V3</t>
        </is>
      </c>
      <c r="B6" s="4" t="n">
        <v>403</v>
      </c>
      <c r="C6" s="4" t="n">
        <v>1331</v>
      </c>
      <c r="D6" s="4" t="n">
        <v>2</v>
      </c>
      <c r="E6" s="4" t="inlineStr">
        <is>
          <t>LAMIN3+3</t>
        </is>
      </c>
      <c r="F6" s="4" t="inlineStr">
        <is>
          <t>T4</t>
        </is>
      </c>
      <c r="G6" s="4" t="n">
        <v>9</v>
      </c>
      <c r="H6" s="4" t="inlineStr">
        <is>
          <t>NO</t>
        </is>
      </c>
      <c r="I6" s="44">
        <f>IF(AND(B6&lt;&gt;0,C6&lt;&gt;0),B6/1000*2+C6/1000*2,"")</f>
        <v/>
      </c>
      <c r="J6" s="44">
        <f>IF(OR(B6="",C6=""),"",IF((B6/1000*C6/1000)&gt;0.4,B6/1000*C6/1000,0.4))</f>
        <v/>
      </c>
      <c r="K6" s="45">
        <f>IF(OR(B6="",C6=""),"",VLOOKUP(E6,'Base vidrios'!$B$4:$C$16,2,FALSE())*J6)</f>
        <v/>
      </c>
      <c r="L6" s="45">
        <f>IF(OR(C6="",B6=""),"",VLOOKUP(F6,'Base vidrios'!$B$4:$C$14,2,FALSE())*J6)</f>
        <v/>
      </c>
      <c r="M6" s="45">
        <f>IF(I6="","",VLOOKUP(G6,'Base vidrios'!$E$4:$F$9,2,FALSE())*I6)</f>
        <v/>
      </c>
      <c r="N6" s="45">
        <f>IF(M6="","",VLOOKUP(H6,'Base vidrios'!$H$4:$I$5,2,FALSE()))</f>
        <v/>
      </c>
      <c r="O6" s="45">
        <f>IF(M6="","",SUM(K6:N6))</f>
        <v/>
      </c>
      <c r="P6" s="46">
        <f>IF(O6="","",O6*D6)</f>
        <v/>
      </c>
      <c r="Q6" s="44">
        <f>IF(OR($P6="",$J6&gt;0.4),"",VLOOKUP(E6,'Base vidrios'!$B$4:$C$13,2,FALSE())*$B6/1000*$C6/1000)</f>
        <v/>
      </c>
      <c r="R6" s="44">
        <f>IF(OR($P6="",$J6&gt;0.4),"",VLOOKUP(F6,'Base vidrios'!$B$4:$C$11,2,FALSE())*$B6/1000*$C6/1000)</f>
        <v/>
      </c>
      <c r="S6" s="44">
        <f>IF(R6="","",R6+Q6+M6)</f>
        <v/>
      </c>
      <c r="T6" s="4">
        <f>IF(S6="","",P6-S6*D6)</f>
        <v/>
      </c>
      <c r="V6" s="52" t="inlineStr">
        <is>
          <t>Precio 3+3</t>
        </is>
      </c>
      <c r="W6" s="10">
        <f>W2</f>
        <v/>
      </c>
    </row>
    <row r="7" ht="22.5" customHeight="1" s="49">
      <c r="A7" s="4" t="inlineStr">
        <is>
          <t>V5</t>
        </is>
      </c>
      <c r="B7" s="4" t="n">
        <v>408</v>
      </c>
      <c r="C7" s="4" t="n">
        <v>1401</v>
      </c>
      <c r="D7" s="4" t="n">
        <v>2</v>
      </c>
      <c r="E7" s="4" t="inlineStr">
        <is>
          <t>LAMIN3+3</t>
        </is>
      </c>
      <c r="F7" s="4" t="inlineStr">
        <is>
          <t>T4</t>
        </is>
      </c>
      <c r="G7" s="4" t="n">
        <v>9</v>
      </c>
      <c r="H7" s="4" t="inlineStr">
        <is>
          <t>NO</t>
        </is>
      </c>
      <c r="I7" s="44">
        <f>IF(AND(B7&lt;&gt;0,C7&lt;&gt;0),B7/1000*2+C7/1000*2,"")</f>
        <v/>
      </c>
      <c r="J7" s="44">
        <f>IF(OR(B7="",C7=""),"",IF((B7/1000*C7/1000)&gt;0.4,B7/1000*C7/1000,0.4))</f>
        <v/>
      </c>
      <c r="K7" s="45">
        <f>IF(OR(B7="",C7=""),"",VLOOKUP(E7,'Base vidrios'!$B$4:$C$16,2,FALSE())*J7)</f>
        <v/>
      </c>
      <c r="L7" s="45">
        <f>IF(OR(C7="",B7=""),"",VLOOKUP(F7,'Base vidrios'!$B$4:$C$14,2,FALSE())*J7)</f>
        <v/>
      </c>
      <c r="M7" s="45">
        <f>IF(I7="","",VLOOKUP(G7,'Base vidrios'!$E$4:$F$9,2,FALSE())*I7)</f>
        <v/>
      </c>
      <c r="N7" s="45">
        <f>IF(M7="","",VLOOKUP(H7,'Base vidrios'!$H$4:$I$5,2,FALSE()))</f>
        <v/>
      </c>
      <c r="O7" s="45">
        <f>IF(M7="","",SUM(K7:N7))</f>
        <v/>
      </c>
      <c r="P7" s="46">
        <f>IF(O7="","",O7*D7)</f>
        <v/>
      </c>
      <c r="Q7" s="44">
        <f>IF(OR($P7="",$J7&gt;0.4),"",VLOOKUP(E7,'Base vidrios'!$B$4:$C$13,2,FALSE())*$B7/1000*$C7/1000)</f>
        <v/>
      </c>
      <c r="R7" s="44">
        <f>IF(OR($P7="",$J7&gt;0.4),"",VLOOKUP(F7,'Base vidrios'!$B$4:$C$11,2,FALSE())*$B7/1000*$C7/1000)</f>
        <v/>
      </c>
      <c r="S7" s="44">
        <f>IF(R7="","",R7+Q7+M7)</f>
        <v/>
      </c>
      <c r="T7" s="4">
        <f>IF(S7="","",P7-S7*D7)</f>
        <v/>
      </c>
      <c r="V7" s="52" t="inlineStr">
        <is>
          <t>Diferencia</t>
        </is>
      </c>
      <c r="W7" s="10">
        <f>W6-W5</f>
        <v/>
      </c>
    </row>
    <row r="8" ht="22.5" customHeight="1" s="49">
      <c r="A8" s="4" t="inlineStr">
        <is>
          <t>V6</t>
        </is>
      </c>
      <c r="B8" s="4" t="n">
        <v>598</v>
      </c>
      <c r="C8" s="4" t="n">
        <v>1401</v>
      </c>
      <c r="D8" s="4" t="n">
        <v>2</v>
      </c>
      <c r="E8" s="4" t="inlineStr">
        <is>
          <t>LAMIN3+3</t>
        </is>
      </c>
      <c r="F8" s="4" t="inlineStr">
        <is>
          <t>T4</t>
        </is>
      </c>
      <c r="G8" s="4" t="n">
        <v>9</v>
      </c>
      <c r="H8" s="4" t="inlineStr">
        <is>
          <t>NO</t>
        </is>
      </c>
      <c r="I8" s="44">
        <f>IF(AND(B8&lt;&gt;0,C8&lt;&gt;0),B8/1000*2+C8/1000*2,"")</f>
        <v/>
      </c>
      <c r="J8" s="44">
        <f>IF(OR(B8="",C8=""),"",IF((B8/1000*C8/1000)&gt;0.4,B8/1000*C8/1000,0.4))</f>
        <v/>
      </c>
      <c r="K8" s="45">
        <f>IF(OR(B8="",C8=""),"",VLOOKUP(E8,'Base vidrios'!$B$4:$C$16,2,FALSE())*J8)</f>
        <v/>
      </c>
      <c r="L8" s="45">
        <f>IF(OR(C8="",B8=""),"",VLOOKUP(F8,'Base vidrios'!$B$4:$C$14,2,FALSE())*J8)</f>
        <v/>
      </c>
      <c r="M8" s="45">
        <f>IF(I8="","",VLOOKUP(G8,'Base vidrios'!$E$4:$F$9,2,FALSE())*I8)</f>
        <v/>
      </c>
      <c r="N8" s="45">
        <f>IF(M8="","",VLOOKUP(H8,'Base vidrios'!$H$4:$I$5,2,FALSE()))</f>
        <v/>
      </c>
      <c r="O8" s="45">
        <f>IF(M8="","",SUM(K8:N8))</f>
        <v/>
      </c>
      <c r="P8" s="46">
        <f>IF(O8="","",O8*D8)</f>
        <v/>
      </c>
      <c r="Q8" s="44">
        <f>IF(OR($P8="",$J8&gt;0.4),"",VLOOKUP(E8,'Base vidrios'!$B$4:$C$13,2,FALSE())*$B8/1000*$C8/1000)</f>
        <v/>
      </c>
      <c r="R8" s="44">
        <f>IF(OR($P8="",$J8&gt;0.4),"",VLOOKUP(F8,'Base vidrios'!$B$4:$C$11,2,FALSE())*$B8/1000*$C8/1000)</f>
        <v/>
      </c>
      <c r="S8" s="44">
        <f>IF(R8="","",R8+Q8+M8)</f>
        <v/>
      </c>
      <c r="T8" s="4">
        <f>IF(S8="","",P8-S8*D8)</f>
        <v/>
      </c>
      <c r="V8" s="52" t="inlineStr">
        <is>
          <t>Diferencia c/utilidad</t>
        </is>
      </c>
      <c r="W8" s="10">
        <f>W7*1.5</f>
        <v/>
      </c>
    </row>
    <row r="9" ht="22.5" customHeight="1" s="49">
      <c r="A9" s="4" t="n"/>
      <c r="B9" s="4" t="n"/>
      <c r="C9" s="4" t="n"/>
      <c r="D9" s="4" t="n"/>
      <c r="E9" s="4" t="n"/>
      <c r="F9" s="4" t="n"/>
      <c r="G9" s="4" t="n"/>
      <c r="H9" s="4" t="inlineStr">
        <is>
          <t>NO</t>
        </is>
      </c>
      <c r="I9" s="44">
        <f>IF(AND(B9&lt;&gt;0,C9&lt;&gt;0),B9/1000*2+C9/1000*2,"")</f>
        <v/>
      </c>
      <c r="J9" s="44">
        <f>IF(OR(B9="",C9=""),"",IF((B9/1000*C9/1000)&gt;0.4,B9/1000*C9/1000,0.4))</f>
        <v/>
      </c>
      <c r="K9" s="44">
        <f>IF(OR(B9="",C9=""),"",VLOOKUP(E9,'Base vidrios'!$B$4:$C$16,2,FALSE())*J9)</f>
        <v/>
      </c>
      <c r="L9" s="44">
        <f>IF(OR(C9="",B9=""),"",VLOOKUP(F9,'Base vidrios'!$B$4:$C$14,2,FALSE())*J9)</f>
        <v/>
      </c>
      <c r="M9" s="44">
        <f>IF(I9="","",VLOOKUP(G9,'Base vidrios'!$E$4:$F$9,2,FALSE())*I9)</f>
        <v/>
      </c>
      <c r="N9" s="44">
        <f>IF(M9="","",VLOOKUP(H9,'Base vidrios'!$H$4:$I$5,2,FALSE()))</f>
        <v/>
      </c>
      <c r="O9" s="44">
        <f>IF(M9="","",SUM(K9:N9))</f>
        <v/>
      </c>
      <c r="P9" s="47">
        <f>IF(O9="","",O9*D9)</f>
        <v/>
      </c>
      <c r="Q9" s="44">
        <f>IF(OR($P9="",$J9&gt;0.4),"",VLOOKUP(E9,'Base vidrios'!$B$4:$C$13,2,FALSE())*$B9/1000*$C9/1000)</f>
        <v/>
      </c>
      <c r="R9" s="44">
        <f>IF(OR($P9="",$J9&gt;0.4),"",VLOOKUP(F9,'Base vidrios'!$B$4:$C$11,2,FALSE())*$B9/1000*$C9/1000)</f>
        <v/>
      </c>
      <c r="S9" s="44">
        <f>IF(R9="","",R9+Q9+M9)</f>
        <v/>
      </c>
      <c r="T9" s="4">
        <f>IF(S9="","",P9-S9*D9)</f>
        <v/>
      </c>
    </row>
    <row r="10" ht="22.5" customHeight="1" s="49">
      <c r="A10" s="4" t="n"/>
      <c r="B10" s="4" t="n"/>
      <c r="C10" s="4" t="n"/>
      <c r="D10" s="4" t="n"/>
      <c r="E10" s="4" t="n"/>
      <c r="F10" s="4" t="n"/>
      <c r="G10" s="4" t="n"/>
      <c r="H10" s="4" t="inlineStr">
        <is>
          <t>NO</t>
        </is>
      </c>
      <c r="I10" s="44">
        <f>IF(AND(B10&lt;&gt;0,C10&lt;&gt;0),B10/1000*2+C10/1000*2,"")</f>
        <v/>
      </c>
      <c r="J10" s="44">
        <f>IF(OR(B10="",C10=""),"",IF((B10/1000*C10/1000)&gt;0.4,B10/1000*C10/1000,0.4))</f>
        <v/>
      </c>
      <c r="K10" s="44">
        <f>IF(OR(B10="",C10=""),"",VLOOKUP(E10,'Base vidrios'!$B$4:$C$16,2,FALSE())*J10)</f>
        <v/>
      </c>
      <c r="L10" s="44">
        <f>IF(OR(C10="",B10=""),"",VLOOKUP(F10,'Base vidrios'!$B$4:$C$14,2,FALSE())*J10)</f>
        <v/>
      </c>
      <c r="M10" s="44">
        <f>IF(I10="","",VLOOKUP(G10,'Base vidrios'!$E$4:$F$9,2,FALSE())*I10)</f>
        <v/>
      </c>
      <c r="N10" s="44">
        <f>IF(M10="","",VLOOKUP(H10,'Base vidrios'!$H$4:$I$5,2,FALSE()))</f>
        <v/>
      </c>
      <c r="O10" s="44">
        <f>IF(M10="","",SUM(K10:N10))</f>
        <v/>
      </c>
      <c r="P10" s="47">
        <f>IF(O10="","",O10*D10)</f>
        <v/>
      </c>
      <c r="Q10" s="44">
        <f>IF(OR($P10="",$J10&gt;0.4),"",VLOOKUP(E10,'Base vidrios'!$B$4:$C$13,2,FALSE())*$B10/1000*$C10/1000)</f>
        <v/>
      </c>
      <c r="R10" s="44">
        <f>IF(OR($P10="",$J10&gt;0.4),"",VLOOKUP(F10,'Base vidrios'!$B$4:$C$11,2,FALSE())*$B10/1000*$C10/1000)</f>
        <v/>
      </c>
      <c r="S10" s="44">
        <f>IF(R10="","",R10+Q10+M10)</f>
        <v/>
      </c>
      <c r="T10" s="4">
        <f>IF(S10="","",P10-S10*D10)</f>
        <v/>
      </c>
    </row>
    <row r="11" ht="22.5" customHeight="1" s="49">
      <c r="A11" s="4" t="n"/>
      <c r="B11" s="4" t="n"/>
      <c r="C11" s="4" t="n"/>
      <c r="D11" s="4" t="n"/>
      <c r="E11" s="4" t="n"/>
      <c r="F11" s="4" t="n"/>
      <c r="G11" s="4" t="n"/>
      <c r="H11" s="4" t="inlineStr">
        <is>
          <t>NO</t>
        </is>
      </c>
      <c r="I11" s="44">
        <f>IF(AND(B11&lt;&gt;0,C11&lt;&gt;0),B11/1000*2+C11/1000*2,"")</f>
        <v/>
      </c>
      <c r="J11" s="44">
        <f>IF(OR(B11="",C11=""),"",IF((B11/1000*C11/1000)&gt;0.4,B11/1000*C11/1000,0.4))</f>
        <v/>
      </c>
      <c r="K11" s="44">
        <f>IF(OR(B11="",C11=""),"",VLOOKUP(E11,'Base vidrios'!$B$4:$C$16,2,FALSE())*J11)</f>
        <v/>
      </c>
      <c r="L11" s="44">
        <f>IF(OR(C11="",B11=""),"",VLOOKUP(F11,'Base vidrios'!$B$4:$C$14,2,FALSE())*J11)</f>
        <v/>
      </c>
      <c r="M11" s="44">
        <f>IF(I11="","",VLOOKUP(G11,'Base vidrios'!$E$4:$F$9,2,FALSE())*I11)</f>
        <v/>
      </c>
      <c r="N11" s="44">
        <f>IF(M11="","",VLOOKUP(H11,'Base vidrios'!$H$4:$I$5,2,FALSE()))</f>
        <v/>
      </c>
      <c r="O11" s="44">
        <f>IF(M11="","",SUM(K11:N11))</f>
        <v/>
      </c>
      <c r="P11" s="47">
        <f>IF(O11="","",O11*D11)</f>
        <v/>
      </c>
      <c r="Q11" s="44">
        <f>IF(OR($P11="",$J11&gt;0.4),"",VLOOKUP(E11,'Base vidrios'!$B$4:$C$13,2,FALSE())*$B11/1000*$C11/1000)</f>
        <v/>
      </c>
      <c r="R11" s="44">
        <f>IF(OR($P11="",$J11&gt;0.4),"",VLOOKUP(F11,'Base vidrios'!$B$4:$C$11,2,FALSE())*$B11/1000*$C11/1000)</f>
        <v/>
      </c>
      <c r="S11" s="44">
        <f>IF(R11="","",R11+Q11+M11)</f>
        <v/>
      </c>
      <c r="T11" s="4">
        <f>IF(S11="","",P11-S11*D11)</f>
        <v/>
      </c>
    </row>
    <row r="12" ht="22.5" customHeight="1" s="49">
      <c r="A12" s="4" t="n"/>
      <c r="B12" s="4" t="n"/>
      <c r="C12" s="4" t="n"/>
      <c r="D12" s="4" t="n"/>
      <c r="E12" s="4" t="n"/>
      <c r="F12" s="4" t="n"/>
      <c r="G12" s="4" t="n"/>
      <c r="H12" s="4" t="inlineStr">
        <is>
          <t>NO</t>
        </is>
      </c>
      <c r="I12" s="44">
        <f>IF(AND(B12&lt;&gt;0,C12&lt;&gt;0),B12/1000*2+C12/1000*2,"")</f>
        <v/>
      </c>
      <c r="J12" s="44">
        <f>IF(OR(B12="",C12=""),"",IF((B12/1000*C12/1000)&gt;0.4,B12/1000*C12/1000,0.4))</f>
        <v/>
      </c>
      <c r="K12" s="44">
        <f>IF(OR(B12="",C12=""),"",VLOOKUP(E12,'Base vidrios'!$B$4:$C$16,2,FALSE())*J12)</f>
        <v/>
      </c>
      <c r="L12" s="44">
        <f>IF(OR(C12="",B12=""),"",VLOOKUP(F12,'Base vidrios'!$B$4:$C$14,2,FALSE())*J12)</f>
        <v/>
      </c>
      <c r="M12" s="44">
        <f>IF(I12="","",VLOOKUP(G12,'Base vidrios'!$E$4:$F$9,2,FALSE())*I12)</f>
        <v/>
      </c>
      <c r="N12" s="44">
        <f>IF(M12="","",VLOOKUP(H12,'Base vidrios'!$H$4:$I$5,2,FALSE()))</f>
        <v/>
      </c>
      <c r="O12" s="44">
        <f>IF(M12="","",SUM(K12:N12))</f>
        <v/>
      </c>
      <c r="P12" s="47">
        <f>IF(O12="","",O12*D12)</f>
        <v/>
      </c>
      <c r="Q12" s="44">
        <f>IF(OR($P12="",$J12&gt;0.4),"",VLOOKUP(E12,'Base vidrios'!$B$4:$C$13,2,FALSE())*$B12/1000*$C12/1000)</f>
        <v/>
      </c>
      <c r="R12" s="44">
        <f>IF(OR($P12="",$J12&gt;0.4),"",VLOOKUP(F12,'Base vidrios'!$B$4:$C$11,2,FALSE())*$B12/1000*$C12/1000)</f>
        <v/>
      </c>
      <c r="S12" s="44">
        <f>IF(R12="","",R12+Q12+M12)</f>
        <v/>
      </c>
      <c r="T12" s="4">
        <f>IF(S12="","",P12-S12*D12)</f>
        <v/>
      </c>
    </row>
    <row r="13" ht="22.5" customHeight="1" s="49">
      <c r="A13" s="4" t="n"/>
      <c r="B13" s="4" t="n"/>
      <c r="C13" s="4" t="n"/>
      <c r="D13" s="4" t="n"/>
      <c r="E13" s="4" t="n"/>
      <c r="F13" s="4" t="n"/>
      <c r="G13" s="4" t="n"/>
      <c r="H13" s="4" t="inlineStr">
        <is>
          <t>NO</t>
        </is>
      </c>
      <c r="I13" s="44">
        <f>IF(AND(B13&lt;&gt;0,C13&lt;&gt;0),B13/1000*2+C13/1000*2,"")</f>
        <v/>
      </c>
      <c r="J13" s="44">
        <f>IF(OR(B13="",C13=""),"",IF((B13/1000*C13/1000)&gt;0.4,B13/1000*C13/1000,0.4))</f>
        <v/>
      </c>
      <c r="K13" s="44">
        <f>IF(OR(B13="",C13=""),"",VLOOKUP(E13,'Base vidrios'!$B$4:$C$16,2,FALSE())*J13)</f>
        <v/>
      </c>
      <c r="L13" s="44">
        <f>IF(OR(C13="",B13=""),"",VLOOKUP(F13,'Base vidrios'!$B$4:$C$14,2,FALSE())*J13)</f>
        <v/>
      </c>
      <c r="M13" s="44">
        <f>IF(I13="","",VLOOKUP(G13,'Base vidrios'!$E$4:$F$9,2,FALSE())*I13)</f>
        <v/>
      </c>
      <c r="N13" s="44">
        <f>IF(M13="","",VLOOKUP(H13,'Base vidrios'!$H$4:$I$5,2,FALSE()))</f>
        <v/>
      </c>
      <c r="O13" s="44">
        <f>IF(M13="","",SUM(K13:N13))</f>
        <v/>
      </c>
      <c r="P13" s="47">
        <f>IF(O13="","",O13*D13)</f>
        <v/>
      </c>
      <c r="Q13" s="44">
        <f>IF(OR($P13="",$J13&gt;0.4),"",VLOOKUP(E13,'Base vidrios'!$B$4:$C$13,2,FALSE())*$B13/1000*$C13/1000)</f>
        <v/>
      </c>
      <c r="R13" s="44">
        <f>IF(OR($P13="",$J13&gt;0.4),"",VLOOKUP(F13,'Base vidrios'!$B$4:$C$11,2,FALSE())*$B13/1000*$C13/1000)</f>
        <v/>
      </c>
      <c r="S13" s="44">
        <f>IF(R13="","",R13+Q13+M13)</f>
        <v/>
      </c>
      <c r="T13" s="4">
        <f>IF(S13="","",P13-S13*D13)</f>
        <v/>
      </c>
    </row>
    <row r="14" ht="22.5" customHeight="1" s="49">
      <c r="A14" s="4" t="n"/>
      <c r="B14" s="4" t="n"/>
      <c r="C14" s="4" t="n"/>
      <c r="D14" s="4" t="n"/>
      <c r="E14" s="4" t="n"/>
      <c r="F14" s="4" t="n"/>
      <c r="G14" s="4" t="n"/>
      <c r="H14" s="4" t="inlineStr">
        <is>
          <t>NO</t>
        </is>
      </c>
      <c r="I14" s="44">
        <f>IF(AND(B14&lt;&gt;0,C14&lt;&gt;0),B14/1000*2+C14/1000*2,"")</f>
        <v/>
      </c>
      <c r="J14" s="44">
        <f>IF(OR(B14="",C14=""),"",IF((B14/1000*C14/1000)&gt;0.4,B14/1000*C14/1000,0.4))</f>
        <v/>
      </c>
      <c r="K14" s="44">
        <f>IF(OR(B14="",C14=""),"",VLOOKUP(E14,'Base vidrios'!$B$4:$C$16,2,FALSE())*J14)</f>
        <v/>
      </c>
      <c r="L14" s="44">
        <f>IF(OR(C14="",B14=""),"",VLOOKUP(F14,'Base vidrios'!$B$4:$C$14,2,FALSE())*J14)</f>
        <v/>
      </c>
      <c r="M14" s="44">
        <f>IF(I14="","",VLOOKUP(G14,'Base vidrios'!$E$4:$F$9,2,FALSE())*I14)</f>
        <v/>
      </c>
      <c r="N14" s="44">
        <f>IF(M14="","",VLOOKUP(H14,'Base vidrios'!$H$4:$I$5,2,FALSE()))</f>
        <v/>
      </c>
      <c r="O14" s="44">
        <f>IF(M14="","",SUM(K14:N14))</f>
        <v/>
      </c>
      <c r="P14" s="47">
        <f>IF(O14="","",O14*D14)</f>
        <v/>
      </c>
      <c r="Q14" s="44">
        <f>IF(OR($P14="",$J14&gt;0.4),"",VLOOKUP(E14,'Base vidrios'!$B$4:$C$13,2,FALSE())*$B14/1000*$C14/1000)</f>
        <v/>
      </c>
      <c r="R14" s="44">
        <f>IF(OR($P14="",$J14&gt;0.4),"",VLOOKUP(F14,'Base vidrios'!$B$4:$C$11,2,FALSE())*$B14/1000*$C14/1000)</f>
        <v/>
      </c>
      <c r="S14" s="44">
        <f>IF(R14="","",R14+Q14+M14)</f>
        <v/>
      </c>
      <c r="T14" s="4">
        <f>IF(S14="","",P14-S14*D14)</f>
        <v/>
      </c>
    </row>
    <row r="15" ht="22.5" customHeight="1" s="49">
      <c r="A15" s="4" t="n"/>
      <c r="B15" s="4" t="n"/>
      <c r="C15" s="4" t="n"/>
      <c r="D15" s="4" t="n"/>
      <c r="E15" s="4" t="n"/>
      <c r="F15" s="4" t="n"/>
      <c r="G15" s="4" t="n"/>
      <c r="H15" s="4" t="inlineStr">
        <is>
          <t>NO</t>
        </is>
      </c>
      <c r="I15" s="44">
        <f>IF(AND(B15&lt;&gt;0,C15&lt;&gt;0),B15/1000*2+C15/1000*2,"")</f>
        <v/>
      </c>
      <c r="J15" s="44">
        <f>IF(OR(B15="",C15=""),"",IF((B15/1000*C15/1000)&gt;0.4,B15/1000*C15/1000,0.4))</f>
        <v/>
      </c>
      <c r="K15" s="44">
        <f>IF(OR(B15="",C15=""),"",VLOOKUP(E15,'Base vidrios'!$B$4:$C$16,2,FALSE())*J15)</f>
        <v/>
      </c>
      <c r="L15" s="44">
        <f>IF(OR(C15="",B15=""),"",VLOOKUP(F15,'Base vidrios'!$B$4:$C$14,2,FALSE())*J15)</f>
        <v/>
      </c>
      <c r="M15" s="44">
        <f>IF(I15="","",VLOOKUP(G15,'Base vidrios'!$E$4:$F$9,2,FALSE())*I15)</f>
        <v/>
      </c>
      <c r="N15" s="44">
        <f>IF(M15="","",VLOOKUP(H15,'Base vidrios'!$H$4:$I$5,2,FALSE()))</f>
        <v/>
      </c>
      <c r="O15" s="44">
        <f>IF(M15="","",SUM(K15:N15))</f>
        <v/>
      </c>
      <c r="P15" s="47">
        <f>IF(O15="","",O15*D15)</f>
        <v/>
      </c>
      <c r="Q15" s="44">
        <f>IF(OR($P15="",$J15&gt;0.4),"",VLOOKUP(E15,'Base vidrios'!$B$4:$C$13,2,FALSE())*$B15/1000*$C15/1000)</f>
        <v/>
      </c>
      <c r="R15" s="44">
        <f>IF(OR($P15="",$J15&gt;0.4),"",VLOOKUP(F15,'Base vidrios'!$B$4:$C$11,2,FALSE())*$B15/1000*$C15/1000)</f>
        <v/>
      </c>
      <c r="S15" s="44">
        <f>IF(R15="","",R15+Q15+M15)</f>
        <v/>
      </c>
      <c r="T15" s="4">
        <f>IF(S15="","",P15-S15*D15)</f>
        <v/>
      </c>
    </row>
    <row r="16" ht="22.5" customHeight="1" s="49">
      <c r="A16" s="4" t="n"/>
      <c r="B16" s="4" t="n"/>
      <c r="C16" s="4" t="n"/>
      <c r="D16" s="4" t="n"/>
      <c r="E16" s="4" t="n"/>
      <c r="F16" s="4" t="n"/>
      <c r="G16" s="4" t="n"/>
      <c r="H16" s="4" t="inlineStr">
        <is>
          <t>NO</t>
        </is>
      </c>
      <c r="I16" s="44">
        <f>IF(AND(B16&lt;&gt;0,C16&lt;&gt;0),B16/1000*2+C16/1000*2,"")</f>
        <v/>
      </c>
      <c r="J16" s="44">
        <f>IF(OR(B16="",C16=""),"",IF((B16/1000*C16/1000)&gt;0.4,B16/1000*C16/1000,0.4))</f>
        <v/>
      </c>
      <c r="K16" s="44">
        <f>IF(OR(B16="",C16=""),"",VLOOKUP(E16,'Base vidrios'!$B$4:$C$16,2,FALSE())*J16)</f>
        <v/>
      </c>
      <c r="L16" s="44">
        <f>IF(OR(C16="",B16=""),"",VLOOKUP(F16,'Base vidrios'!$B$4:$C$14,2,FALSE())*J16)</f>
        <v/>
      </c>
      <c r="M16" s="44">
        <f>IF(I16="","",VLOOKUP(G16,'Base vidrios'!$E$4:$F$9,2,FALSE())*I16)</f>
        <v/>
      </c>
      <c r="N16" s="44">
        <f>IF(M16="","",VLOOKUP(H16,'Base vidrios'!$H$4:$I$5,2,FALSE()))</f>
        <v/>
      </c>
      <c r="O16" s="44">
        <f>IF(M16="","",SUM(K16:N16))</f>
        <v/>
      </c>
      <c r="P16" s="47">
        <f>IF(O16="","",O16*D16)</f>
        <v/>
      </c>
      <c r="Q16" s="44">
        <f>IF(OR($P16="",$J16&gt;0.4),"",VLOOKUP(E16,'Base vidrios'!$B$4:$C$13,2,FALSE())*$B16/1000*$C16/1000)</f>
        <v/>
      </c>
      <c r="R16" s="44">
        <f>IF(OR($P16="",$J16&gt;0.4),"",VLOOKUP(F16,'Base vidrios'!$B$4:$C$11,2,FALSE())*$B16/1000*$C16/1000)</f>
        <v/>
      </c>
      <c r="S16" s="44">
        <f>IF(R16="","",R16+Q16+M16)</f>
        <v/>
      </c>
      <c r="T16" s="4">
        <f>IF(S16="","",P16-S16*D16)</f>
        <v/>
      </c>
    </row>
    <row r="17" ht="22.5" customHeight="1" s="49">
      <c r="A17" s="4" t="n"/>
      <c r="B17" s="4" t="n"/>
      <c r="C17" s="4" t="n"/>
      <c r="D17" s="4" t="n"/>
      <c r="E17" s="4" t="n"/>
      <c r="F17" s="4" t="n"/>
      <c r="G17" s="4" t="n"/>
      <c r="H17" s="4" t="inlineStr">
        <is>
          <t>NO</t>
        </is>
      </c>
      <c r="I17" s="44">
        <f>IF(AND(B17&lt;&gt;0,C17&lt;&gt;0),B17/1000*2+C17/1000*2,"")</f>
        <v/>
      </c>
      <c r="J17" s="44">
        <f>IF(OR(B17="",C17=""),"",IF((B17/1000*C17/1000)&gt;0.4,B17/1000*C17/1000,0.4))</f>
        <v/>
      </c>
      <c r="K17" s="44">
        <f>IF(OR(B17="",C17=""),"",VLOOKUP(E17,'Base vidrios'!$B$4:$C$16,2,FALSE())*J17)</f>
        <v/>
      </c>
      <c r="L17" s="44">
        <f>IF(OR(C17="",B17=""),"",VLOOKUP(F17,'Base vidrios'!$B$4:$C$14,2,FALSE())*J17)</f>
        <v/>
      </c>
      <c r="M17" s="44">
        <f>IF(I17="","",VLOOKUP(G17,'Base vidrios'!$E$4:$F$9,2,FALSE())*I17)</f>
        <v/>
      </c>
      <c r="N17" s="44">
        <f>IF(M17="","",VLOOKUP(H17,'Base vidrios'!$H$4:$I$5,2,FALSE()))</f>
        <v/>
      </c>
      <c r="O17" s="44">
        <f>IF(M17="","",SUM(K17:N17))</f>
        <v/>
      </c>
      <c r="P17" s="47">
        <f>IF(O17="","",O17*D17)</f>
        <v/>
      </c>
      <c r="Q17" s="44">
        <f>IF(OR($P17="",$J17&gt;0.4),"",VLOOKUP(E17,'Base vidrios'!$B$4:$C$13,2,FALSE())*$B17/1000*$C17/1000)</f>
        <v/>
      </c>
      <c r="R17" s="44">
        <f>IF(OR($P17="",$J17&gt;0.4),"",VLOOKUP(F17,'Base vidrios'!$B$4:$C$11,2,FALSE())*$B17/1000*$C17/1000)</f>
        <v/>
      </c>
      <c r="S17" s="44">
        <f>IF(R17="","",R17+Q17+M17)</f>
        <v/>
      </c>
      <c r="T17" s="4">
        <f>IF(S17="","",P17-S17*D17)</f>
        <v/>
      </c>
    </row>
    <row r="18" ht="22.5" customHeight="1" s="49">
      <c r="A18" s="4" t="n"/>
      <c r="B18" s="4" t="n"/>
      <c r="C18" s="4" t="n"/>
      <c r="D18" s="4" t="n"/>
      <c r="E18" s="4" t="n"/>
      <c r="F18" s="4" t="n"/>
      <c r="G18" s="4" t="n"/>
      <c r="H18" s="4" t="inlineStr">
        <is>
          <t>NO</t>
        </is>
      </c>
      <c r="I18" s="44">
        <f>IF(AND(B18&lt;&gt;0,C18&lt;&gt;0),B18/1000*2+C18/1000*2,"")</f>
        <v/>
      </c>
      <c r="J18" s="44">
        <f>IF(OR(B18="",C18=""),"",IF((B18/1000*C18/1000)&gt;0.4,B18/1000*C18/1000,0.4))</f>
        <v/>
      </c>
      <c r="K18" s="44">
        <f>IF(OR(B18="",C18=""),"",VLOOKUP(E18,'Base vidrios'!$B$4:$C$16,2,FALSE())*J18)</f>
        <v/>
      </c>
      <c r="L18" s="44">
        <f>IF(OR(C18="",B18=""),"",VLOOKUP(F18,'Base vidrios'!$B$4:$C$14,2,FALSE())*J18)</f>
        <v/>
      </c>
      <c r="M18" s="44">
        <f>IF(I18="","",VLOOKUP(G18,'Base vidrios'!$E$4:$F$9,2,FALSE())*I18)</f>
        <v/>
      </c>
      <c r="N18" s="44">
        <f>IF(M18="","",VLOOKUP(H18,'Base vidrios'!$H$4:$I$5,2,FALSE()))</f>
        <v/>
      </c>
      <c r="O18" s="44">
        <f>IF(M18="","",SUM(K18:N18))</f>
        <v/>
      </c>
      <c r="P18" s="47">
        <f>IF(O18="","",O18*D18)</f>
        <v/>
      </c>
      <c r="Q18" s="44">
        <f>IF(OR($P18="",$J18&gt;0.4),"",VLOOKUP(E18,'Base vidrios'!$B$4:$C$13,2,FALSE())*$B18/1000*$C18/1000)</f>
        <v/>
      </c>
      <c r="R18" s="44">
        <f>IF(OR($P18="",$J18&gt;0.4),"",VLOOKUP(F18,'Base vidrios'!$B$4:$C$11,2,FALSE())*$B18/1000*$C18/1000)</f>
        <v/>
      </c>
      <c r="S18" s="44">
        <f>IF(R18="","",R18+Q18+M18)</f>
        <v/>
      </c>
      <c r="T18" s="4">
        <f>IF(S18="","",P18-S18*D18)</f>
        <v/>
      </c>
    </row>
    <row r="19" ht="22.5" customHeight="1" s="49">
      <c r="A19" s="4" t="n"/>
      <c r="B19" s="4" t="n"/>
      <c r="C19" s="4" t="n"/>
      <c r="D19" s="4" t="n"/>
      <c r="E19" s="4" t="n"/>
      <c r="F19" s="4" t="n"/>
      <c r="G19" s="4" t="n"/>
      <c r="H19" s="4" t="inlineStr">
        <is>
          <t>NO</t>
        </is>
      </c>
      <c r="I19" s="44">
        <f>IF(AND(B19&lt;&gt;0,C19&lt;&gt;0),B19/1000*2+C19/1000*2,"")</f>
        <v/>
      </c>
      <c r="J19" s="44">
        <f>IF(OR(B19="",C19=""),"",IF((B19/1000*C19/1000)&gt;0.4,B19/1000*C19/1000,0.4))</f>
        <v/>
      </c>
      <c r="K19" s="44">
        <f>IF(OR(B19="",C19=""),"",VLOOKUP(E19,'Base vidrios'!$B$4:$C$16,2,FALSE())*J19)</f>
        <v/>
      </c>
      <c r="L19" s="44">
        <f>IF(OR(C19="",B19=""),"",VLOOKUP(F19,'Base vidrios'!$B$4:$C$14,2,FALSE())*J19)</f>
        <v/>
      </c>
      <c r="M19" s="44">
        <f>IF(I19="","",VLOOKUP(G19,'Base vidrios'!$E$4:$F$9,2,FALSE())*I19)</f>
        <v/>
      </c>
      <c r="N19" s="44">
        <f>IF(M19="","",VLOOKUP(H19,'Base vidrios'!$H$4:$I$5,2,FALSE()))</f>
        <v/>
      </c>
      <c r="O19" s="44">
        <f>IF(M19="","",SUM(K19:N19))</f>
        <v/>
      </c>
      <c r="P19" s="47">
        <f>IF(O19="","",O19*D19)</f>
        <v/>
      </c>
      <c r="Q19" s="44">
        <f>IF(OR($P19="",$J19&gt;0.4),"",VLOOKUP(E19,'Base vidrios'!$B$4:$C$13,2,FALSE())*$B19/1000*$C19/1000)</f>
        <v/>
      </c>
      <c r="R19" s="44">
        <f>IF(OR($P19="",$J19&gt;0.4),"",VLOOKUP(F19,'Base vidrios'!$B$4:$C$11,2,FALSE())*$B19/1000*$C19/1000)</f>
        <v/>
      </c>
      <c r="S19" s="44">
        <f>IF(R19="","",R19+Q19+M19)</f>
        <v/>
      </c>
      <c r="T19" s="4">
        <f>IF(S19="","",P19-S19*D19)</f>
        <v/>
      </c>
    </row>
    <row r="20" ht="22.5" customHeight="1" s="49">
      <c r="A20" s="4" t="n"/>
      <c r="B20" s="4" t="n"/>
      <c r="C20" s="4" t="n"/>
      <c r="D20" s="4" t="n"/>
      <c r="E20" s="4" t="n"/>
      <c r="F20" s="4" t="n"/>
      <c r="G20" s="4" t="n"/>
      <c r="H20" s="4" t="inlineStr">
        <is>
          <t>NO</t>
        </is>
      </c>
      <c r="I20" s="44">
        <f>IF(AND(B20&lt;&gt;0,C20&lt;&gt;0),B20/1000*2+C20/1000*2,"")</f>
        <v/>
      </c>
      <c r="J20" s="44">
        <f>IF(OR(B20="",C20=""),"",IF((B20/1000*C20/1000)&gt;0.4,B20/1000*C20/1000,0.4))</f>
        <v/>
      </c>
      <c r="K20" s="44">
        <f>IF(OR(B20="",C20=""),"",VLOOKUP(E20,'Base vidrios'!$B$4:$C$16,2,FALSE())*J20)</f>
        <v/>
      </c>
      <c r="L20" s="44">
        <f>IF(OR(C20="",B20=""),"",VLOOKUP(F20,'Base vidrios'!$B$4:$C$14,2,FALSE())*J20)</f>
        <v/>
      </c>
      <c r="M20" s="44">
        <f>IF(I20="","",VLOOKUP(G20,'Base vidrios'!$E$4:$F$9,2,FALSE())*I20)</f>
        <v/>
      </c>
      <c r="N20" s="44">
        <f>IF(M20="","",VLOOKUP(H20,'Base vidrios'!$H$4:$I$5,2,FALSE()))</f>
        <v/>
      </c>
      <c r="O20" s="44">
        <f>IF(M20="","",SUM(K20:N20))</f>
        <v/>
      </c>
      <c r="P20" s="47">
        <f>IF(O20="","",O20*D20)</f>
        <v/>
      </c>
      <c r="Q20" s="44">
        <f>IF(OR($P20="",$J20&gt;0.4),"",VLOOKUP(E20,'Base vidrios'!$B$4:$C$13,2,FALSE())*$B20/1000*$C20/1000)</f>
        <v/>
      </c>
      <c r="R20" s="44">
        <f>IF(OR($P20="",$J20&gt;0.4),"",VLOOKUP(F20,'Base vidrios'!$B$4:$C$11,2,FALSE())*$B20/1000*$C20/1000)</f>
        <v/>
      </c>
      <c r="S20" s="44">
        <f>IF(R20="","",R20+Q20+M20)</f>
        <v/>
      </c>
      <c r="T20" s="4">
        <f>IF(S20="","",P20-S20*D20)</f>
        <v/>
      </c>
    </row>
    <row r="21" ht="22.5" customHeight="1" s="49">
      <c r="A21" s="4" t="n"/>
      <c r="B21" s="4" t="n"/>
      <c r="C21" s="4" t="n"/>
      <c r="D21" s="4" t="n"/>
      <c r="E21" s="4" t="n"/>
      <c r="F21" s="4" t="n"/>
      <c r="G21" s="4" t="n"/>
      <c r="H21" s="4" t="inlineStr">
        <is>
          <t>NO</t>
        </is>
      </c>
      <c r="I21" s="44">
        <f>IF(AND(B21&lt;&gt;0,C21&lt;&gt;0),B21/1000*2+C21/1000*2,"")</f>
        <v/>
      </c>
      <c r="J21" s="44">
        <f>IF(OR(B21="",C21=""),"",IF((B21/1000*C21/1000)&gt;0.4,B21/1000*C21/1000,0.4))</f>
        <v/>
      </c>
      <c r="K21" s="44">
        <f>IF(OR(B21="",C21=""),"",VLOOKUP(E21,'Base vidrios'!$B$4:$C$16,2,FALSE())*J21)</f>
        <v/>
      </c>
      <c r="L21" s="44">
        <f>IF(OR(C21="",B21=""),"",VLOOKUP(F21,'Base vidrios'!$B$4:$C$14,2,FALSE())*J21)</f>
        <v/>
      </c>
      <c r="M21" s="44">
        <f>IF(I21="","",VLOOKUP(G21,'Base vidrios'!$E$4:$F$9,2,FALSE())*I21)</f>
        <v/>
      </c>
      <c r="N21" s="44">
        <f>IF(M21="","",VLOOKUP(H21,'Base vidrios'!$H$4:$I$5,2,FALSE()))</f>
        <v/>
      </c>
      <c r="O21" s="44">
        <f>IF(M21="","",SUM(K21:N21))</f>
        <v/>
      </c>
      <c r="P21" s="47">
        <f>IF(O21="","",O21*D21)</f>
        <v/>
      </c>
      <c r="Q21" s="44">
        <f>IF(OR($P21="",$J21&gt;0.4),"",VLOOKUP(E21,'Base vidrios'!$B$4:$C$13,2,FALSE())*$B21/1000*$C21/1000)</f>
        <v/>
      </c>
      <c r="R21" s="44">
        <f>IF(OR($P21="",$J21&gt;0.4),"",VLOOKUP(F21,'Base vidrios'!$B$4:$C$11,2,FALSE())*$B21/1000*$C21/1000)</f>
        <v/>
      </c>
      <c r="S21" s="44">
        <f>IF(R21="","",R21+Q21+M21)</f>
        <v/>
      </c>
      <c r="T21" s="4">
        <f>IF(S21="","",P21-S21*D21)</f>
        <v/>
      </c>
    </row>
    <row r="22" ht="22.5" customHeight="1" s="49">
      <c r="A22" s="4" t="n"/>
      <c r="B22" s="4" t="n"/>
      <c r="C22" s="4" t="n"/>
      <c r="D22" s="4" t="n"/>
      <c r="E22" s="4" t="n"/>
      <c r="F22" s="4" t="n"/>
      <c r="G22" s="4" t="n"/>
      <c r="H22" s="4" t="inlineStr">
        <is>
          <t>NO</t>
        </is>
      </c>
      <c r="I22" s="44">
        <f>IF(AND(B22&lt;&gt;0,C22&lt;&gt;0),B22/1000*2+C22/1000*2,"")</f>
        <v/>
      </c>
      <c r="J22" s="44">
        <f>IF(OR(B22="",C22=""),"",IF((B22/1000*C22/1000)&gt;0.4,B22/1000*C22/1000,0.4))</f>
        <v/>
      </c>
      <c r="K22" s="44">
        <f>IF(OR(B22="",C22=""),"",VLOOKUP(E22,'Base vidrios'!$B$4:$C$16,2,FALSE())*J22)</f>
        <v/>
      </c>
      <c r="L22" s="44">
        <f>IF(OR(C22="",B22=""),"",VLOOKUP(F22,'Base vidrios'!$B$4:$C$14,2,FALSE())*J22)</f>
        <v/>
      </c>
      <c r="M22" s="44">
        <f>IF(I22="","",VLOOKUP(G22,'Base vidrios'!$E$4:$F$9,2,FALSE())*I22)</f>
        <v/>
      </c>
      <c r="N22" s="44">
        <f>IF(M22="","",VLOOKUP(H22,'Base vidrios'!$H$4:$I$5,2,FALSE()))</f>
        <v/>
      </c>
      <c r="O22" s="44">
        <f>IF(M22="","",SUM(K22:N22))</f>
        <v/>
      </c>
      <c r="P22" s="47">
        <f>IF(O22="","",O22*D22)</f>
        <v/>
      </c>
      <c r="Q22" s="44">
        <f>IF(OR($P22="",$J22&gt;0.4),"",VLOOKUP(E22,'Base vidrios'!$B$4:$C$13,2,FALSE())*$B22/1000*$C22/1000)</f>
        <v/>
      </c>
      <c r="R22" s="44">
        <f>IF(OR($P22="",$J22&gt;0.4),"",VLOOKUP(F22,'Base vidrios'!$B$4:$C$11,2,FALSE())*$B22/1000*$C22/1000)</f>
        <v/>
      </c>
      <c r="S22" s="44">
        <f>IF(R22="","",R22+Q22+M22)</f>
        <v/>
      </c>
      <c r="T22" s="4">
        <f>IF(S22="","",P22-S22*D22)</f>
        <v/>
      </c>
    </row>
    <row r="23" ht="22.5" customHeight="1" s="49">
      <c r="A23" s="4" t="n"/>
      <c r="B23" s="4" t="n"/>
      <c r="C23" s="4" t="n"/>
      <c r="D23" s="4" t="n"/>
      <c r="E23" s="4" t="n"/>
      <c r="F23" s="4" t="n"/>
      <c r="G23" s="4" t="n"/>
      <c r="H23" s="4" t="inlineStr">
        <is>
          <t>NO</t>
        </is>
      </c>
      <c r="I23" s="44">
        <f>IF(AND(B23&lt;&gt;0,C23&lt;&gt;0),B23/1000*2+C23/1000*2,"")</f>
        <v/>
      </c>
      <c r="J23" s="44">
        <f>IF(OR(B23="",C23=""),"",IF((B23/1000*C23/1000)&gt;0.4,B23/1000*C23/1000,0.4))</f>
        <v/>
      </c>
      <c r="K23" s="44">
        <f>IF(OR(B23="",C23=""),"",VLOOKUP(E23,'Base vidrios'!$B$4:$C$16,2,FALSE())*J23)</f>
        <v/>
      </c>
      <c r="L23" s="44">
        <f>IF(OR(C23="",B23=""),"",VLOOKUP(F23,'Base vidrios'!$B$4:$C$14,2,FALSE())*J23)</f>
        <v/>
      </c>
      <c r="M23" s="44">
        <f>IF(I23="","",VLOOKUP(G23,'Base vidrios'!$E$4:$F$9,2,FALSE())*I23)</f>
        <v/>
      </c>
      <c r="N23" s="44">
        <f>IF(M23="","",VLOOKUP(H23,'Base vidrios'!$H$4:$I$5,2,FALSE()))</f>
        <v/>
      </c>
      <c r="O23" s="44">
        <f>IF(M23="","",SUM(K23:N23))</f>
        <v/>
      </c>
      <c r="P23" s="47">
        <f>IF(O23="","",O23*D23)</f>
        <v/>
      </c>
      <c r="Q23" s="44">
        <f>IF(OR($P23="",$J23&gt;0.4),"",VLOOKUP(E23,'Base vidrios'!$B$4:$C$13,2,FALSE())*$B23/1000*$C23/1000)</f>
        <v/>
      </c>
      <c r="R23" s="44">
        <f>IF(OR($P23="",$J23&gt;0.4),"",VLOOKUP(F23,'Base vidrios'!$B$4:$C$11,2,FALSE())*$B23/1000*$C23/1000)</f>
        <v/>
      </c>
      <c r="S23" s="44">
        <f>IF(R23="","",R23+Q23+M23)</f>
        <v/>
      </c>
      <c r="T23" s="4">
        <f>IF(S23="","",P23-S23*D23)</f>
        <v/>
      </c>
    </row>
    <row r="24" ht="22.5" customHeight="1" s="49">
      <c r="A24" s="4" t="n"/>
      <c r="B24" s="4" t="n"/>
      <c r="C24" s="4" t="n"/>
      <c r="D24" s="4" t="n"/>
      <c r="E24" s="4" t="n"/>
      <c r="F24" s="4" t="n"/>
      <c r="G24" s="4" t="n"/>
      <c r="H24" s="4" t="inlineStr">
        <is>
          <t>NO</t>
        </is>
      </c>
      <c r="I24" s="44">
        <f>IF(AND(B24&lt;&gt;0,C24&lt;&gt;0),B24/1000*2+C24/1000*2,"")</f>
        <v/>
      </c>
      <c r="J24" s="44">
        <f>IF(OR(B24="",C24=""),"",IF((B24/1000*C24/1000)&gt;0.4,B24/1000*C24/1000,0.4))</f>
        <v/>
      </c>
      <c r="K24" s="44">
        <f>IF(OR(B24="",C24=""),"",VLOOKUP(E24,'Base vidrios'!$B$4:$C$16,2,FALSE())*J24)</f>
        <v/>
      </c>
      <c r="L24" s="44">
        <f>IF(OR(C24="",B24=""),"",VLOOKUP(F24,'Base vidrios'!$B$4:$C$14,2,FALSE())*J24)</f>
        <v/>
      </c>
      <c r="M24" s="44">
        <f>IF(I24="","",VLOOKUP(G24,'Base vidrios'!$E$4:$F$9,2,FALSE())*I24)</f>
        <v/>
      </c>
      <c r="N24" s="44">
        <f>IF(M24="","",VLOOKUP(H24,'Base vidrios'!$H$4:$I$5,2,FALSE()))</f>
        <v/>
      </c>
      <c r="O24" s="44">
        <f>IF(M24="","",SUM(K24:N24))</f>
        <v/>
      </c>
      <c r="P24" s="47">
        <f>IF(O24="","",O24*D24)</f>
        <v/>
      </c>
      <c r="Q24" s="44">
        <f>IF(OR($P24="",$J24&gt;0.4),"",VLOOKUP(E24,'Base vidrios'!$B$4:$C$13,2,FALSE())*$B24/1000*$C24/1000)</f>
        <v/>
      </c>
      <c r="R24" s="44">
        <f>IF(OR($P24="",$J24&gt;0.4),"",VLOOKUP(F24,'Base vidrios'!$B$4:$C$11,2,FALSE())*$B24/1000*$C24/1000)</f>
        <v/>
      </c>
      <c r="S24" s="44">
        <f>IF(R24="","",R24+Q24+M24)</f>
        <v/>
      </c>
      <c r="T24" s="4">
        <f>IF(S24="","",P24-S24*D24)</f>
        <v/>
      </c>
    </row>
    <row r="25" ht="22.5" customHeight="1" s="49">
      <c r="A25" s="4" t="n"/>
      <c r="B25" s="4" t="n"/>
      <c r="C25" s="4" t="n"/>
      <c r="D25" s="4" t="n"/>
      <c r="E25" s="4" t="n"/>
      <c r="F25" s="4" t="n"/>
      <c r="G25" s="4" t="n"/>
      <c r="H25" s="4" t="inlineStr">
        <is>
          <t>NO</t>
        </is>
      </c>
      <c r="I25" s="44">
        <f>IF(AND(B25&lt;&gt;0,C25&lt;&gt;0),B25/1000*2+C25/1000*2,"")</f>
        <v/>
      </c>
      <c r="J25" s="44">
        <f>IF(OR(B25="",C25=""),"",IF((B25/1000*C25/1000)&gt;0.4,B25/1000*C25/1000,0.4))</f>
        <v/>
      </c>
      <c r="K25" s="44">
        <f>IF(OR(B25="",C25=""),"",VLOOKUP(E25,'Base vidrios'!$B$4:$C$16,2,FALSE())*J25)</f>
        <v/>
      </c>
      <c r="L25" s="44">
        <f>IF(OR(C25="",B25=""),"",VLOOKUP(F25,'Base vidrios'!$B$4:$C$14,2,FALSE())*J25)</f>
        <v/>
      </c>
      <c r="M25" s="44">
        <f>IF(I25="","",VLOOKUP(G25,'Base vidrios'!$E$4:$F$9,2,FALSE())*I25)</f>
        <v/>
      </c>
      <c r="N25" s="44">
        <f>IF(M25="","",VLOOKUP(H25,'Base vidrios'!$H$4:$I$5,2,FALSE()))</f>
        <v/>
      </c>
      <c r="O25" s="44">
        <f>IF(M25="","",SUM(K25:N25))</f>
        <v/>
      </c>
      <c r="P25" s="47">
        <f>IF(O25="","",O25*D25)</f>
        <v/>
      </c>
      <c r="Q25" s="44">
        <f>IF(OR($P25="",$J25&gt;0.4),"",VLOOKUP(E25,'Base vidrios'!$B$4:$C$13,2,FALSE())*$B25/1000*$C25/1000)</f>
        <v/>
      </c>
      <c r="R25" s="44">
        <f>IF(OR($P25="",$J25&gt;0.4),"",VLOOKUP(F25,'Base vidrios'!$B$4:$C$11,2,FALSE())*$B25/1000*$C25/1000)</f>
        <v/>
      </c>
      <c r="S25" s="44">
        <f>IF(R25="","",R25+Q25+M25)</f>
        <v/>
      </c>
      <c r="T25" s="4">
        <f>IF(S25="","",P25-S25*D25)</f>
        <v/>
      </c>
    </row>
    <row r="26" ht="22.5" customHeight="1" s="49">
      <c r="A26" s="4" t="n"/>
      <c r="B26" s="4" t="n"/>
      <c r="C26" s="4" t="n"/>
      <c r="D26" s="4" t="n"/>
      <c r="E26" s="4" t="n"/>
      <c r="F26" s="4" t="n"/>
      <c r="G26" s="4" t="n"/>
      <c r="H26" s="4" t="inlineStr">
        <is>
          <t>NO</t>
        </is>
      </c>
      <c r="I26" s="44">
        <f>IF(AND(B26&lt;&gt;0,C26&lt;&gt;0),B26/1000*2+C26/1000*2,"")</f>
        <v/>
      </c>
      <c r="J26" s="44">
        <f>IF(OR(B26="",C26=""),"",IF((B26/1000*C26/1000)&gt;0.4,B26/1000*C26/1000,0.4))</f>
        <v/>
      </c>
      <c r="K26" s="44">
        <f>IF(OR(B26="",C26=""),"",VLOOKUP(E26,'Base vidrios'!$B$4:$C$16,2,FALSE())*J26)</f>
        <v/>
      </c>
      <c r="L26" s="44">
        <f>IF(OR(C26="",B26=""),"",VLOOKUP(F26,'Base vidrios'!$B$4:$C$14,2,FALSE())*J26)</f>
        <v/>
      </c>
      <c r="M26" s="44">
        <f>IF(I26="","",VLOOKUP(G26,'Base vidrios'!$E$4:$F$9,2,FALSE())*I26)</f>
        <v/>
      </c>
      <c r="N26" s="44">
        <f>IF(M26="","",VLOOKUP(H26,'Base vidrios'!$H$4:$I$5,2,FALSE()))</f>
        <v/>
      </c>
      <c r="O26" s="44">
        <f>IF(M26="","",SUM(K26:N26))</f>
        <v/>
      </c>
      <c r="P26" s="47">
        <f>IF(O26="","",O26*D26)</f>
        <v/>
      </c>
      <c r="Q26" s="44">
        <f>IF(OR($P26="",$J26&gt;0.4),"",VLOOKUP(E26,'Base vidrios'!$B$4:$C$13,2,FALSE())*$B26/1000*$C26/1000)</f>
        <v/>
      </c>
      <c r="R26" s="44">
        <f>IF(OR($P26="",$J26&gt;0.4),"",VLOOKUP(F26,'Base vidrios'!$B$4:$C$11,2,FALSE())*$B26/1000*$C26/1000)</f>
        <v/>
      </c>
      <c r="S26" s="44">
        <f>IF(R26="","",R26+Q26+M26)</f>
        <v/>
      </c>
      <c r="T26" s="4">
        <f>IF(S26="","",P26-S26*D26)</f>
        <v/>
      </c>
    </row>
    <row r="27" ht="22.5" customHeight="1" s="49">
      <c r="A27" s="4" t="n"/>
      <c r="B27" s="4" t="n"/>
      <c r="C27" s="4" t="n"/>
      <c r="D27" s="4" t="n"/>
      <c r="E27" s="4" t="n"/>
      <c r="F27" s="4" t="n"/>
      <c r="G27" s="4" t="n"/>
      <c r="H27" s="4" t="inlineStr">
        <is>
          <t>NO</t>
        </is>
      </c>
      <c r="I27" s="44">
        <f>IF(AND(B27&lt;&gt;0,C27&lt;&gt;0),B27/1000*2+C27/1000*2,"")</f>
        <v/>
      </c>
      <c r="J27" s="44">
        <f>IF(OR(B27="",C27=""),"",IF((B27/1000*C27/1000)&gt;0.4,B27/1000*C27/1000,0.4))</f>
        <v/>
      </c>
      <c r="K27" s="44">
        <f>IF(OR(B27="",C27=""),"",VLOOKUP(E27,'Base vidrios'!$B$4:$C$16,2,FALSE())*J27)</f>
        <v/>
      </c>
      <c r="L27" s="44">
        <f>IF(OR(C27="",B27=""),"",VLOOKUP(F27,'Base vidrios'!$B$4:$C$14,2,FALSE())*J27)</f>
        <v/>
      </c>
      <c r="M27" s="44">
        <f>IF(I27="","",VLOOKUP(G27,'Base vidrios'!$E$4:$F$9,2,FALSE())*I27)</f>
        <v/>
      </c>
      <c r="N27" s="44">
        <f>IF(M27="","",VLOOKUP(H27,'Base vidrios'!$H$4:$I$5,2,FALSE()))</f>
        <v/>
      </c>
      <c r="O27" s="44">
        <f>IF(M27="","",SUM(K27:N27))</f>
        <v/>
      </c>
      <c r="P27" s="47">
        <f>IF(O27="","",O27*D27)</f>
        <v/>
      </c>
      <c r="Q27" s="44">
        <f>IF(OR($P27="",$J27&gt;0.4),"",VLOOKUP(E27,'Base vidrios'!$B$4:$C$13,2,FALSE())*$B27/1000*$C27/1000)</f>
        <v/>
      </c>
      <c r="R27" s="44">
        <f>IF(OR($P27="",$J27&gt;0.4),"",VLOOKUP(F27,'Base vidrios'!$B$4:$C$11,2,FALSE())*$B27/1000*$C27/1000)</f>
        <v/>
      </c>
      <c r="S27" s="44">
        <f>IF(R27="","",R27+Q27+M27)</f>
        <v/>
      </c>
      <c r="T27" s="4">
        <f>IF(S27="","",P27-S27*D27)</f>
        <v/>
      </c>
    </row>
    <row r="28" ht="22.5" customHeight="1" s="49">
      <c r="A28" s="4" t="n"/>
      <c r="B28" s="4" t="n"/>
      <c r="C28" s="4" t="n"/>
      <c r="D28" s="4" t="n"/>
      <c r="E28" s="4" t="n"/>
      <c r="F28" s="4" t="n"/>
      <c r="G28" s="4" t="n"/>
      <c r="H28" s="4" t="inlineStr">
        <is>
          <t>NO</t>
        </is>
      </c>
      <c r="I28" s="44">
        <f>IF(AND(B28&lt;&gt;0,C28&lt;&gt;0),B28/1000*2+C28/1000*2,"")</f>
        <v/>
      </c>
      <c r="J28" s="44">
        <f>IF(OR(B28="",C28=""),"",IF((B28/1000*C28/1000)&gt;0.4,B28/1000*C28/1000,0.4))</f>
        <v/>
      </c>
      <c r="K28" s="44">
        <f>IF(OR(B28="",C28=""),"",VLOOKUP(E28,'Base vidrios'!$B$4:$C$16,2,FALSE())*J28)</f>
        <v/>
      </c>
      <c r="L28" s="44">
        <f>IF(OR(C28="",B28=""),"",VLOOKUP(F28,'Base vidrios'!$B$4:$C$14,2,FALSE())*J28)</f>
        <v/>
      </c>
      <c r="M28" s="44">
        <f>IF(I28="","",VLOOKUP(G28,'Base vidrios'!$E$4:$F$9,2,FALSE())*I28)</f>
        <v/>
      </c>
      <c r="N28" s="44">
        <f>IF(M28="","",VLOOKUP(H28,'Base vidrios'!$H$4:$I$5,2,FALSE()))</f>
        <v/>
      </c>
      <c r="O28" s="44">
        <f>IF(M28="","",SUM(K28:N28))</f>
        <v/>
      </c>
      <c r="P28" s="47">
        <f>IF(O28="","",O28*D28)</f>
        <v/>
      </c>
      <c r="Q28" s="44">
        <f>IF(OR($P28="",$J28&gt;0.4),"",VLOOKUP(E28,'Base vidrios'!$B$4:$C$13,2,FALSE())*$B28/1000*$C28/1000)</f>
        <v/>
      </c>
      <c r="R28" s="44">
        <f>IF(OR($P28="",$J28&gt;0.4),"",VLOOKUP(F28,'Base vidrios'!$B$4:$C$11,2,FALSE())*$B28/1000*$C28/1000)</f>
        <v/>
      </c>
      <c r="S28" s="44">
        <f>IF(R28="","",R28+Q28+M28)</f>
        <v/>
      </c>
      <c r="T28" s="4">
        <f>IF(S28="","",P28-S28*D28)</f>
        <v/>
      </c>
    </row>
    <row r="29" ht="22.5" customHeight="1" s="49">
      <c r="A29" s="4" t="n"/>
      <c r="B29" s="4" t="n"/>
      <c r="C29" s="4" t="n"/>
      <c r="D29" s="4" t="n"/>
      <c r="E29" s="4" t="n"/>
      <c r="F29" s="4" t="n"/>
      <c r="G29" s="4" t="n"/>
      <c r="H29" s="4" t="inlineStr">
        <is>
          <t>NO</t>
        </is>
      </c>
      <c r="I29" s="44">
        <f>IF(AND(B29&lt;&gt;0,C29&lt;&gt;0),B29/1000*2+C29/1000*2,"")</f>
        <v/>
      </c>
      <c r="J29" s="44">
        <f>IF(OR(B29="",C29=""),"",IF((B29/1000*C29/1000)&gt;0.4,B29/1000*C29/1000,0.4))</f>
        <v/>
      </c>
      <c r="K29" s="44">
        <f>IF(OR(B29="",C29=""),"",VLOOKUP(E29,'Base vidrios'!$B$4:$C$16,2,FALSE())*J29)</f>
        <v/>
      </c>
      <c r="L29" s="44">
        <f>IF(OR(C29="",B29=""),"",VLOOKUP(F29,'Base vidrios'!$B$4:$C$14,2,FALSE())*J29)</f>
        <v/>
      </c>
      <c r="M29" s="44">
        <f>IF(I29="","",VLOOKUP(G29,'Base vidrios'!$E$4:$F$9,2,FALSE())*I29)</f>
        <v/>
      </c>
      <c r="N29" s="44">
        <f>IF(M29="","",VLOOKUP(H29,'Base vidrios'!$H$4:$I$5,2,FALSE()))</f>
        <v/>
      </c>
      <c r="O29" s="44">
        <f>IF(M29="","",SUM(K29:N29))</f>
        <v/>
      </c>
      <c r="P29" s="47">
        <f>IF(O29="","",O29*D29)</f>
        <v/>
      </c>
      <c r="Q29" s="44">
        <f>IF(OR($P29="",$J29&gt;0.4),"",VLOOKUP(E29,'Base vidrios'!$B$4:$C$13,2,FALSE())*$B29/1000*$C29/1000)</f>
        <v/>
      </c>
      <c r="R29" s="44">
        <f>IF(OR($P29="",$J29&gt;0.4),"",VLOOKUP(F29,'Base vidrios'!$B$4:$C$11,2,FALSE())*$B29/1000*$C29/1000)</f>
        <v/>
      </c>
      <c r="S29" s="44">
        <f>IF(R29="","",R29+Q29+M29)</f>
        <v/>
      </c>
      <c r="T29" s="4">
        <f>IF(S29="","",P29-S29*D29)</f>
        <v/>
      </c>
    </row>
    <row r="30" ht="22.5" customHeight="1" s="49">
      <c r="A30" s="4" t="n"/>
      <c r="B30" s="4" t="n"/>
      <c r="C30" s="4" t="n"/>
      <c r="D30" s="4" t="n"/>
      <c r="E30" s="4" t="n"/>
      <c r="F30" s="4" t="n"/>
      <c r="G30" s="4" t="n"/>
      <c r="H30" s="4" t="inlineStr">
        <is>
          <t>NO</t>
        </is>
      </c>
      <c r="I30" s="44">
        <f>IF(AND(B30&lt;&gt;0,C30&lt;&gt;0),B30/1000*2+C30/1000*2,"")</f>
        <v/>
      </c>
      <c r="J30" s="44">
        <f>IF(OR(B30="",C30=""),"",IF((B30/1000*C30/1000)&gt;0.4,B30/1000*C30/1000,0.4))</f>
        <v/>
      </c>
      <c r="K30" s="44">
        <f>IF(OR(B30="",C30=""),"",VLOOKUP(E30,'Base vidrios'!$B$4:$C$16,2,FALSE())*J30)</f>
        <v/>
      </c>
      <c r="L30" s="44">
        <f>IF(OR(C30="",B30=""),"",VLOOKUP(F30,'Base vidrios'!$B$4:$C$14,2,FALSE())*J30)</f>
        <v/>
      </c>
      <c r="M30" s="44">
        <f>IF(I30="","",VLOOKUP(G30,'Base vidrios'!$E$4:$F$9,2,FALSE())*I30)</f>
        <v/>
      </c>
      <c r="N30" s="44">
        <f>IF(M30="","",VLOOKUP(H30,'Base vidrios'!$H$4:$I$5,2,FALSE()))</f>
        <v/>
      </c>
      <c r="O30" s="44">
        <f>IF(M30="","",SUM(K30:N30))</f>
        <v/>
      </c>
      <c r="P30" s="47">
        <f>IF(O30="","",O30*D30)</f>
        <v/>
      </c>
      <c r="Q30" s="44">
        <f>IF(OR($P30="",$J30&gt;0.4),"",VLOOKUP(E30,'Base vidrios'!$B$4:$C$13,2,FALSE())*$B30/1000*$C30/1000)</f>
        <v/>
      </c>
      <c r="R30" s="44">
        <f>IF(OR($P30="",$J30&gt;0.4),"",VLOOKUP(F30,'Base vidrios'!$B$4:$C$11,2,FALSE())*$B30/1000*$C30/1000)</f>
        <v/>
      </c>
      <c r="S30" s="44">
        <f>IF(R30="","",R30+Q30+M30)</f>
        <v/>
      </c>
      <c r="T30" s="4">
        <f>IF(S30="","",P30-S30*D30)</f>
        <v/>
      </c>
    </row>
  </sheetData>
  <dataValidations count="3">
    <dataValidation sqref="H3:H30" showDropDown="0" showInputMessage="0" showErrorMessage="0" allowBlank="1" type="list">
      <formula1>"SI,NO"</formula1>
    </dataValidation>
    <dataValidation sqref="E3 E4 E5 E6 E7 E8 E9 E10 E11 E12 E13 E14 E15 E16 E17 E18 E19 E20 E21 E22 E23 E24 E25 E26 E27 E28 E29 E30 F3 F4 F5 F6 F7 F8 F9 F10 F11 F12 F13 F14 F15 F16 F17 F18 F19 F20 F21 F22 F23 F24 F25 F26 F27 F28 F29 F30" showDropDown="0" showInputMessage="0" showErrorMessage="0" allowBlank="1" type="list">
      <formula1>'Base vidrios'!$B$4:$B$17</formula1>
    </dataValidation>
    <dataValidation sqref="G3 G4 G5 G6 G7 G8 G9 G10 G11 G12 G13 G14 G15 G16 G17 G18 G19 G20 G21 G22 G23 G24 G25 G26 G27 G28 G29 G30" showDropDown="0" showInputMessage="0" showErrorMessage="0" allowBlank="1" type="list">
      <formula1>'Base vidrios'!$E$4:$E$9</formula1>
    </dataValidation>
  </dataValidations>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2:W30"/>
  <sheetViews>
    <sheetView workbookViewId="0">
      <selection activeCell="A1" sqref="A1"/>
    </sheetView>
  </sheetViews>
  <sheetFormatPr baseColWidth="8" defaultRowHeight="15"/>
  <sheetData>
    <row r="2">
      <c r="A2" t="inlineStr">
        <is>
          <t>TIP.</t>
        </is>
      </c>
      <c r="B2" t="inlineStr">
        <is>
          <t>ALTO (mm)</t>
        </is>
      </c>
      <c r="C2" t="inlineStr">
        <is>
          <t>ANCHO (mm)</t>
        </is>
      </c>
      <c r="D2" t="inlineStr">
        <is>
          <t>CANT.</t>
        </is>
      </c>
      <c r="E2" t="inlineStr">
        <is>
          <t>VIDRIO</t>
        </is>
      </c>
      <c r="F2" t="inlineStr">
        <is>
          <t>M2/PIEZA</t>
        </is>
      </c>
      <c r="G2" t="inlineStr">
        <is>
          <t>M2 TOTAL</t>
        </is>
      </c>
      <c r="H2" t="inlineStr">
        <is>
          <t>PRECIO M2</t>
        </is>
      </c>
      <c r="I2" t="inlineStr">
        <is>
          <t>TOTAL</t>
        </is>
      </c>
      <c r="V2" t="inlineStr">
        <is>
          <t>TOTAL</t>
        </is>
      </c>
      <c r="W2">
        <f>SUM(I3:I30)</f>
        <v/>
      </c>
    </row>
    <row r="3">
      <c r="F3">
        <f>IF(OR(B3="",C3=""),"",B3/1000*C3/1000)</f>
        <v/>
      </c>
      <c r="G3">
        <f>IF(F3="","",D3*F3)</f>
        <v/>
      </c>
      <c r="H3">
        <f>IF(E3="","",VLOOKUP(E3,'Base vidrios'!$B$4:$C$17,2,FALSE()))</f>
        <v/>
      </c>
      <c r="I3">
        <f>IF(G3="","",G3*H3)</f>
        <v/>
      </c>
    </row>
    <row r="4">
      <c r="F4">
        <f>IF(OR(B4="",C4=""),"",B4/1000*C4/1000)</f>
        <v/>
      </c>
      <c r="G4">
        <f>IF(F4="","",D4*F4)</f>
        <v/>
      </c>
      <c r="H4">
        <f>IF(E4="","",VLOOKUP(E4,'Base vidrios'!$B$4:$C$17,2,FALSE()))</f>
        <v/>
      </c>
      <c r="I4">
        <f>IF(G4="","",G4*H4)</f>
        <v/>
      </c>
    </row>
    <row r="5">
      <c r="F5">
        <f>IF(OR(B5="",C5=""),"",B5/1000*C5/1000)</f>
        <v/>
      </c>
      <c r="G5">
        <f>IF(F5="","",D5*F5)</f>
        <v/>
      </c>
      <c r="H5">
        <f>IF(E5="","",VLOOKUP(E5,'Base vidrios'!$B$4:$C$17,2,FALSE()))</f>
        <v/>
      </c>
      <c r="I5">
        <f>IF(G5="","",G5*H5)</f>
        <v/>
      </c>
    </row>
    <row r="6">
      <c r="F6">
        <f>IF(OR(B6="",C6=""),"",B6/1000*C6/1000)</f>
        <v/>
      </c>
      <c r="G6">
        <f>IF(F6="","",D6*F6)</f>
        <v/>
      </c>
      <c r="H6">
        <f>IF(E6="","",VLOOKUP(E6,'Base vidrios'!$B$4:$C$17,2,FALSE()))</f>
        <v/>
      </c>
      <c r="I6">
        <f>IF(G6="","",G6*H6)</f>
        <v/>
      </c>
    </row>
    <row r="7">
      <c r="F7">
        <f>IF(OR(B7="",C7=""),"",B7/1000*C7/1000)</f>
        <v/>
      </c>
      <c r="G7">
        <f>IF(F7="","",D7*F7)</f>
        <v/>
      </c>
      <c r="H7">
        <f>IF(E7="","",VLOOKUP(E7,'Base vidrios'!$B$4:$C$17,2,FALSE()))</f>
        <v/>
      </c>
      <c r="I7">
        <f>IF(G7="","",G7*H7)</f>
        <v/>
      </c>
    </row>
    <row r="8">
      <c r="F8">
        <f>IF(OR(B8="",C8=""),"",B8/1000*C8/1000)</f>
        <v/>
      </c>
      <c r="G8">
        <f>IF(F8="","",D8*F8)</f>
        <v/>
      </c>
      <c r="H8">
        <f>IF(E8="","",VLOOKUP(E8,'Base vidrios'!$B$4:$C$17,2,FALSE()))</f>
        <v/>
      </c>
      <c r="I8">
        <f>IF(G8="","",G8*H8)</f>
        <v/>
      </c>
    </row>
    <row r="9">
      <c r="F9">
        <f>IF(OR(B9="",C9=""),"",B9/1000*C9/1000)</f>
        <v/>
      </c>
      <c r="G9">
        <f>IF(F9="","",D9*F9)</f>
        <v/>
      </c>
      <c r="H9">
        <f>IF(E9="","",VLOOKUP(E9,'Base vidrios'!$B$4:$C$17,2,FALSE()))</f>
        <v/>
      </c>
      <c r="I9">
        <f>IF(G9="","",G9*H9)</f>
        <v/>
      </c>
    </row>
    <row r="10">
      <c r="F10">
        <f>IF(OR(B10="",C10=""),"",B10/1000*C10/1000)</f>
        <v/>
      </c>
      <c r="G10">
        <f>IF(F10="","",D10*F10)</f>
        <v/>
      </c>
      <c r="H10">
        <f>IF(E10="","",VLOOKUP(E10,'Base vidrios'!$B$4:$C$17,2,FALSE()))</f>
        <v/>
      </c>
      <c r="I10">
        <f>IF(G10="","",G10*H10)</f>
        <v/>
      </c>
    </row>
    <row r="11">
      <c r="F11">
        <f>IF(OR(B11="",C11=""),"",B11/1000*C11/1000)</f>
        <v/>
      </c>
      <c r="G11">
        <f>IF(F11="","",D11*F11)</f>
        <v/>
      </c>
      <c r="H11">
        <f>IF(E11="","",VLOOKUP(E11,'Base vidrios'!$B$4:$C$17,2,FALSE()))</f>
        <v/>
      </c>
      <c r="I11">
        <f>IF(G11="","",G11*H11)</f>
        <v/>
      </c>
    </row>
    <row r="12">
      <c r="F12">
        <f>IF(OR(B12="",C12=""),"",B12/1000*C12/1000)</f>
        <v/>
      </c>
      <c r="G12">
        <f>IF(F12="","",D12*F12)</f>
        <v/>
      </c>
      <c r="H12">
        <f>IF(E12="","",VLOOKUP(E12,'Base vidrios'!$B$4:$C$17,2,FALSE()))</f>
        <v/>
      </c>
      <c r="I12">
        <f>IF(G12="","",G12*H12)</f>
        <v/>
      </c>
    </row>
    <row r="13">
      <c r="F13">
        <f>IF(OR(B13="",C13=""),"",B13/1000*C13/1000)</f>
        <v/>
      </c>
      <c r="G13">
        <f>IF(F13="","",D13*F13)</f>
        <v/>
      </c>
      <c r="H13">
        <f>IF(E13="","",VLOOKUP(E13,'Base vidrios'!$B$4:$C$17,2,FALSE()))</f>
        <v/>
      </c>
      <c r="I13">
        <f>IF(G13="","",G13*H13)</f>
        <v/>
      </c>
    </row>
    <row r="14">
      <c r="F14">
        <f>IF(OR(B14="",C14=""),"",B14/1000*C14/1000)</f>
        <v/>
      </c>
      <c r="G14">
        <f>IF(F14="","",D14*F14)</f>
        <v/>
      </c>
      <c r="H14">
        <f>IF(E14="","",VLOOKUP(E14,'Base vidrios'!$B$4:$C$17,2,FALSE()))</f>
        <v/>
      </c>
      <c r="I14">
        <f>IF(G14="","",G14*H14)</f>
        <v/>
      </c>
    </row>
    <row r="15">
      <c r="F15">
        <f>IF(OR(B15="",C15=""),"",B15/1000*C15/1000)</f>
        <v/>
      </c>
      <c r="G15">
        <f>IF(F15="","",D15*F15)</f>
        <v/>
      </c>
      <c r="H15">
        <f>IF(E15="","",VLOOKUP(E15,'Base vidrios'!$B$4:$C$17,2,FALSE()))</f>
        <v/>
      </c>
      <c r="I15">
        <f>IF(G15="","",G15*H15)</f>
        <v/>
      </c>
    </row>
    <row r="16">
      <c r="F16">
        <f>IF(OR(B16="",C16=""),"",B16/1000*C16/1000)</f>
        <v/>
      </c>
      <c r="G16">
        <f>IF(F16="","",D16*F16)</f>
        <v/>
      </c>
      <c r="H16">
        <f>IF(E16="","",VLOOKUP(E16,'Base vidrios'!$B$4:$C$17,2,FALSE()))</f>
        <v/>
      </c>
      <c r="I16">
        <f>IF(G16="","",G16*H16)</f>
        <v/>
      </c>
    </row>
    <row r="17">
      <c r="F17">
        <f>IF(OR(B17="",C17=""),"",B17/1000*C17/1000)</f>
        <v/>
      </c>
      <c r="G17">
        <f>IF(F17="","",D17*F17)</f>
        <v/>
      </c>
      <c r="H17">
        <f>IF(E17="","",VLOOKUP(E17,'Base vidrios'!$B$4:$C$17,2,FALSE()))</f>
        <v/>
      </c>
      <c r="I17">
        <f>IF(G17="","",G17*H17)</f>
        <v/>
      </c>
    </row>
    <row r="18">
      <c r="F18">
        <f>IF(OR(B18="",C18=""),"",B18/1000*C18/1000)</f>
        <v/>
      </c>
      <c r="G18">
        <f>IF(F18="","",D18*F18)</f>
        <v/>
      </c>
      <c r="H18">
        <f>IF(E18="","",VLOOKUP(E18,'Base vidrios'!$B$4:$C$17,2,FALSE()))</f>
        <v/>
      </c>
      <c r="I18">
        <f>IF(G18="","",G18*H18)</f>
        <v/>
      </c>
    </row>
    <row r="19">
      <c r="F19">
        <f>IF(OR(B19="",C19=""),"",B19/1000*C19/1000)</f>
        <v/>
      </c>
      <c r="G19">
        <f>IF(F19="","",D19*F19)</f>
        <v/>
      </c>
      <c r="H19">
        <f>IF(E19="","",VLOOKUP(E19,'Base vidrios'!$B$4:$C$17,2,FALSE()))</f>
        <v/>
      </c>
      <c r="I19">
        <f>IF(G19="","",G19*H19)</f>
        <v/>
      </c>
    </row>
    <row r="20">
      <c r="F20">
        <f>IF(OR(B20="",C20=""),"",B20/1000*C20/1000)</f>
        <v/>
      </c>
      <c r="G20">
        <f>IF(F20="","",D20*F20)</f>
        <v/>
      </c>
      <c r="H20">
        <f>IF(E20="","",VLOOKUP(E20,'Base vidrios'!$B$4:$C$17,2,FALSE()))</f>
        <v/>
      </c>
      <c r="I20">
        <f>IF(G20="","",G20*H20)</f>
        <v/>
      </c>
    </row>
    <row r="21">
      <c r="F21">
        <f>IF(OR(B21="",C21=""),"",B21/1000*C21/1000)</f>
        <v/>
      </c>
      <c r="G21">
        <f>IF(F21="","",D21*F21)</f>
        <v/>
      </c>
      <c r="H21">
        <f>IF(E21="","",VLOOKUP(E21,'Base vidrios'!$B$4:$C$17,2,FALSE()))</f>
        <v/>
      </c>
      <c r="I21">
        <f>IF(G21="","",G21*H21)</f>
        <v/>
      </c>
    </row>
    <row r="22">
      <c r="F22">
        <f>IF(OR(B22="",C22=""),"",B22/1000*C22/1000)</f>
        <v/>
      </c>
      <c r="G22">
        <f>IF(F22="","",D22*F22)</f>
        <v/>
      </c>
      <c r="H22">
        <f>IF(E22="","",VLOOKUP(E22,'Base vidrios'!$B$4:$C$17,2,FALSE()))</f>
        <v/>
      </c>
      <c r="I22">
        <f>IF(G22="","",G22*H22)</f>
        <v/>
      </c>
    </row>
    <row r="23">
      <c r="F23">
        <f>IF(OR(B23="",C23=""),"",B23/1000*C23/1000)</f>
        <v/>
      </c>
      <c r="G23">
        <f>IF(F23="","",D23*F23)</f>
        <v/>
      </c>
      <c r="H23">
        <f>IF(E23="","",VLOOKUP(E23,'Base vidrios'!$B$4:$C$17,2,FALSE()))</f>
        <v/>
      </c>
      <c r="I23">
        <f>IF(G23="","",G23*H23)</f>
        <v/>
      </c>
    </row>
    <row r="24">
      <c r="F24">
        <f>IF(OR(B24="",C24=""),"",B24/1000*C24/1000)</f>
        <v/>
      </c>
      <c r="G24">
        <f>IF(F24="","",D24*F24)</f>
        <v/>
      </c>
      <c r="H24">
        <f>IF(E24="","",VLOOKUP(E24,'Base vidrios'!$B$4:$C$17,2,FALSE()))</f>
        <v/>
      </c>
      <c r="I24">
        <f>IF(G24="","",G24*H24)</f>
        <v/>
      </c>
    </row>
    <row r="25">
      <c r="F25">
        <f>IF(OR(B25="",C25=""),"",B25/1000*C25/1000)</f>
        <v/>
      </c>
      <c r="G25">
        <f>IF(F25="","",D25*F25)</f>
        <v/>
      </c>
      <c r="H25">
        <f>IF(E25="","",VLOOKUP(E25,'Base vidrios'!$B$4:$C$17,2,FALSE()))</f>
        <v/>
      </c>
      <c r="I25">
        <f>IF(G25="","",G25*H25)</f>
        <v/>
      </c>
    </row>
    <row r="26">
      <c r="F26">
        <f>IF(OR(B26="",C26=""),"",B26/1000*C26/1000)</f>
        <v/>
      </c>
      <c r="G26">
        <f>IF(F26="","",D26*F26)</f>
        <v/>
      </c>
      <c r="H26">
        <f>IF(E26="","",VLOOKUP(E26,'Base vidrios'!$B$4:$C$17,2,FALSE()))</f>
        <v/>
      </c>
      <c r="I26">
        <f>IF(G26="","",G26*H26)</f>
        <v/>
      </c>
    </row>
    <row r="27">
      <c r="F27">
        <f>IF(OR(B27="",C27=""),"",B27/1000*C27/1000)</f>
        <v/>
      </c>
      <c r="G27">
        <f>IF(F27="","",D27*F27)</f>
        <v/>
      </c>
      <c r="H27">
        <f>IF(E27="","",VLOOKUP(E27,'Base vidrios'!$B$4:$C$17,2,FALSE()))</f>
        <v/>
      </c>
      <c r="I27">
        <f>IF(G27="","",G27*H27)</f>
        <v/>
      </c>
    </row>
    <row r="28">
      <c r="F28">
        <f>IF(OR(B28="",C28=""),"",B28/1000*C28/1000)</f>
        <v/>
      </c>
      <c r="G28">
        <f>IF(F28="","",D28*F28)</f>
        <v/>
      </c>
      <c r="H28">
        <f>IF(E28="","",VLOOKUP(E28,'Base vidrios'!$B$4:$C$17,2,FALSE()))</f>
        <v/>
      </c>
      <c r="I28">
        <f>IF(G28="","",G28*H28)</f>
        <v/>
      </c>
    </row>
    <row r="29">
      <c r="F29">
        <f>IF(OR(B29="",C29=""),"",B29/1000*C29/1000)</f>
        <v/>
      </c>
      <c r="G29">
        <f>IF(F29="","",D29*F29)</f>
        <v/>
      </c>
      <c r="H29">
        <f>IF(E29="","",VLOOKUP(E29,'Base vidrios'!$B$4:$C$17,2,FALSE()))</f>
        <v/>
      </c>
      <c r="I29">
        <f>IF(G29="","",G29*H29)</f>
        <v/>
      </c>
    </row>
    <row r="30">
      <c r="F30">
        <f>IF(OR(B30="",C30=""),"",B30/1000*C30/1000)</f>
        <v/>
      </c>
      <c r="G30">
        <f>IF(F30="","",D30*F30)</f>
        <v/>
      </c>
      <c r="H30">
        <f>IF(E30="","",VLOOKUP(E30,'Base vidrios'!$B$4:$C$17,2,FALSE()))</f>
        <v/>
      </c>
      <c r="I30">
        <f>IF(G30="","",G30*H30)</f>
        <v/>
      </c>
    </row>
  </sheetData>
  <dataValidations count="1">
    <dataValidation sqref="E3 E4 E5 E6 E7 E8 E9 E10 E11 E12 E13 E14 E15 E16 E17 E18 E19 E20 E21 E22 E23 E24 E25 E26 E27 E28 E29 E30" showDropDown="0" showInputMessage="0" showErrorMessage="0" allowBlank="1" type="list">
      <formula1>'Base vidrios'!$B$4:$B$17</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2026-06-24T22:04:26Z</dcterms:created>
  <dcterms:modified xsi:type="dcterms:W3CDTF">2026-06-30T17:45:50Z</dcterms:modified>
  <cp:lastModifiedBy>Nicolas Casanova</cp:lastModifiedBy>
</cp:coreProperties>
</file>